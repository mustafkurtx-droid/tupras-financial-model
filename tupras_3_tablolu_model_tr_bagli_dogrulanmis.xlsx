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04d615f5d46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pak" sheetId="1" r:id="R70574ccd77094f73"/>
    <x:sheet xmlns:r="http://schemas.openxmlformats.org/officeDocument/2006/relationships" name="Varsayımlar" sheetId="2" r:id="R2f60695eef1a4506"/>
    <x:sheet xmlns:r="http://schemas.openxmlformats.org/officeDocument/2006/relationships" name="Operasyonel Varsayımlar" sheetId="3" r:id="R463558734a594469"/>
    <x:sheet xmlns:r="http://schemas.openxmlformats.org/officeDocument/2006/relationships" name="Gelir Tablosu" sheetId="4" r:id="Rb03789d3d72e47fe"/>
    <x:sheet xmlns:r="http://schemas.openxmlformats.org/officeDocument/2006/relationships" name="Bilanço" sheetId="5" r:id="R59eda36436734c18"/>
    <x:sheet xmlns:r="http://schemas.openxmlformats.org/officeDocument/2006/relationships" name="Nakit Akış" sheetId="6" r:id="R509acacd7280479e"/>
    <x:sheet xmlns:r="http://schemas.openxmlformats.org/officeDocument/2006/relationships" name="Borç Planı" sheetId="7" r:id="Rc1e56a38be664a0b"/>
    <x:sheet xmlns:r="http://schemas.openxmlformats.org/officeDocument/2006/relationships" name="Özkaynak Hareketi" sheetId="8" r:id="Ra98fc497596e47bc"/>
    <x:sheet xmlns:r="http://schemas.openxmlformats.org/officeDocument/2006/relationships" name="DCF Değerleme" sheetId="9" r:id="Rfb8eb3b66a9749b9"/>
    <x:sheet xmlns:r="http://schemas.openxmlformats.org/officeDocument/2006/relationships" name="Model Kontrolleri" sheetId="10" r:id="R3c7bc89608234b7a"/>
    <x:sheet xmlns:r="http://schemas.openxmlformats.org/officeDocument/2006/relationships" name="Kaynak ve Notlar" sheetId="11" r:id="Rf63eae882d284515"/>
  </x:sheets>
</x:workbook>
</file>

<file path=xl/comments1.xml><?xml version="1.0" encoding="utf-8"?>
<x:comments xmlns:x="http://schemas.openxmlformats.org/spreadsheetml/2006/main">
  <x:authors>
    <x:author>tc={ED3A857B-D042-39F1-39D3-5D155BAD78C4}</x:author>
  </x:authors>
  <x:commentList>
    <x:comment ref="E2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2026 H2 tahmini H1 gerçekleşen rakamlarının çarpanı olarak modellenmiştir. Şirket rehberi/3Ç gerçekleşmeleri geldikçe güncellenmelidir.</x:t>
        </x:r>
      </x:text>
    </x:comment>
  </x:commentList>
</x:comments>
</file>

<file path=xl/comments2.xml><?xml version="1.0" encoding="utf-8"?>
<x:comments xmlns:x="http://schemas.openxmlformats.org/spreadsheetml/2006/main">
  <x:authors>
    <x:author>tc={C73EFEB1-E88B-DB02-991B-2FFA3C937A72}</x:author>
  </x:authors>
  <x:commentList>
    <x:comment ref="H2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Diğer yükümlülükler detay kırılımı kaynak rapor ile ayrıştırıldığında bu satır sadeleştirilebilir. Şu an mimariyi korumak için ayrı işaretlendi.</x:t>
        </x:r>
      </x:text>
    </x:comment>
  </x:commentList>
</x:comments>
</file>

<file path=xl/comments3.xml><?xml version="1.0" encoding="utf-8"?>
<x:comments xmlns:x="http://schemas.openxmlformats.org/spreadsheetml/2006/main">
  <x:authors>
    <x:author>tc={43F0A4AD-A24A-1959-546B-0EDEA0CDD870}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Eksik entegrasyon: borçların para birimi, faiz oranı, vade, lease yükümlülükleri ve kur farkı detayları henüz ayrı schedule olarak ayrıştırılmadı.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;[Red](0.0%);-"/>
    <x:numFmt numFmtId="201" formatCode="#,##0;[Red](#,##0);-"/>
    <x:numFmt numFmtId="202" formatCode="#,##0.0"/>
    <x:numFmt numFmtId="203" formatCode="0.0"/>
    <x:numFmt numFmtId="204" formatCode="0.0x;[Red](0.0x);-"/>
    <x:numFmt numFmtId="205" formatCode="0.000"/>
    <x:numFmt numFmtId="206" formatCode="#,##0.0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4"/>
      <x:color rgb="FFFFFFFF"/>
      <x:name val="Carlito"/>
    </x:font>
    <x:font>
      <x:i/>
      <x:sz val="11"/>
      <x:color rgb="FF000000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6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  <x:fill>
      <x:patternFill patternType="solid">
        <x:fgColor rgb="FF1F4E78"/>
      </x:patternFill>
    </x:fill>
  </x:fills>
  <x:borders count="31">
    <x:border/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B7C9D6"/>
      </x:bottom>
    </x:border>
    <x:border>
      <x:left style="thin">
        <x:color rgb="FF17365D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right style="thin">
        <x:color rgb="FF17365D"/>
      </x:right>
      <x:top style="thin">
        <x:color rgb="FF17365D"/>
      </x:top>
      <x:bottom style="thin">
        <x:color rgb="FFE5E7EB"/>
      </x:bottom>
    </x:border>
    <x:border>
      <x:top style="thin">
        <x:color rgb="FF17365D"/>
      </x:top>
      <x:bottom style="thin">
        <x:color rgb="FFE5E7EB"/>
      </x:bottom>
    </x:border>
    <x:border>
      <x:right style="thin">
        <x:color rgb="FF17365D"/>
      </x:right>
      <x:top style="thin">
        <x:color rgb="FF17365D"/>
      </x:top>
      <x:bottom style="thin">
        <x:color rgb="FFE5E7EB"/>
      </x:bottom>
    </x:border>
    <x:border>
      <x:left style="thin">
        <x:color rgb="FF17365D"/>
      </x:left>
      <x:top style="thin">
        <x:color rgb="FFE5E7EB"/>
      </x:top>
      <x:bottom style="thin">
        <x:color rgb="FFE5E7EB"/>
      </x:bottom>
    </x:border>
    <x:border>
      <x:right style="thin">
        <x:color rgb="FF17365D"/>
      </x:right>
      <x:top style="thin">
        <x:color rgb="FFE5E7EB"/>
      </x:top>
      <x:bottom style="thin">
        <x:color rgb="FFE5E7EB"/>
      </x:bottom>
    </x:border>
    <x:border>
      <x:left style="thin">
        <x:color rgb="FF17365D"/>
      </x:left>
      <x:top style="thin">
        <x:color rgb="FFE5E7EB"/>
      </x:top>
      <x:bottom style="thin">
        <x:color rgb="FFB7C9D6"/>
      </x:bottom>
    </x:border>
    <x:border>
      <x:right style="thin">
        <x:color rgb="FF17365D"/>
      </x:right>
      <x:top style="thin">
        <x:color rgb="FFE5E7EB"/>
      </x:top>
      <x:bottom style="thin">
        <x:color rgb="FFB7C9D6"/>
      </x:bottom>
    </x:border>
    <x:border>
      <x:left style="thin">
        <x:color rgb="FF17365D"/>
      </x:left>
      <x:top style="medium">
        <x:color rgb="FF1F4E78"/>
      </x:top>
      <x:bottom style="thin">
        <x:color rgb="FFE5E7EB"/>
      </x:bottom>
    </x:border>
    <x:border>
      <x:top style="medium">
        <x:color rgb="FF1F4E78"/>
      </x:top>
      <x:bottom style="thin">
        <x:color rgb="FFE5E7EB"/>
      </x:bottom>
    </x:border>
    <x:border>
      <x:left style="thin">
        <x:color rgb="FF17365D"/>
      </x:left>
      <x:top style="medium">
        <x:color rgb="FF1F4E78"/>
      </x:top>
      <x:bottom style="thin">
        <x:color rgb="FFB7C9D6"/>
      </x:bottom>
    </x:border>
    <x:border>
      <x:top style="medium">
        <x:color rgb="FF1F4E78"/>
      </x:top>
      <x:bottom style="thin">
        <x:color rgb="FFB7C9D6"/>
      </x:bottom>
    </x:border>
    <x:border>
      <x:left style="thin">
        <x:color rgb="FF17365D"/>
      </x:left>
      <x:right style="thin">
        <x:color rgb="FF17365D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horizontal="right" wrapText="1"/>
    </x:xf>
    <x:xf numFmtId="0" fontId="3" fillId="4" borderId="13" xfId="0" applyNumberFormat="1" applyFont="1" applyFill="1" applyBorder="1" applyAlignment="1">
      <x:alignment horizontal="right" wrapText="1"/>
    </x:xf>
    <x:xf numFmtId="0" fontId="3" fillId="4" borderId="14" xfId="0" applyNumberFormat="1" applyFont="1" applyFill="1" applyBorder="1" applyAlignment="1">
      <x:alignment horizontal="right" wrapText="1"/>
    </x:xf>
    <x:xf numFmtId="0" fontId="3" fillId="4" borderId="12" xfId="0" applyNumberFormat="1" applyFont="1" applyFill="1" applyBorder="1" applyAlignment="1">
      <x:alignment horizontal="left" wrapText="1"/>
    </x:xf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202" fontId="0" fillId="0" borderId="0" xfId="0" applyNumberFormat="1" applyFont="1" applyFill="1" applyBorder="1"/>
    <x:xf numFmtId="202" fontId="7" fillId="5" borderId="0" xfId="0" applyNumberFormat="1" applyFont="1" applyFill="1" applyBorder="1"/>
    <x:xf numFmtId="0" fontId="0" fillId="0" borderId="15" xfId="0" applyNumberFormat="1" applyFont="1" applyFill="1" applyBorder="1"/>
    <x:xf numFmtId="200" fontId="0" fillId="0" borderId="15" xfId="0" applyNumberFormat="1" applyFont="1" applyFill="1" applyBorder="1"/>
    <x:xf numFmtId="200" fontId="7" fillId="5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200" fontId="7" fillId="5" borderId="16" xfId="0" applyNumberFormat="1" applyFont="1" applyFill="1" applyBorder="1"/>
    <x:xf numFmtId="202" fontId="0" fillId="0" borderId="16" xfId="0" applyNumberFormat="1" applyFont="1" applyFill="1" applyBorder="1"/>
    <x:xf numFmtId="202" fontId="7" fillId="5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7" xfId="0" applyNumberFormat="1" applyFont="1" applyFill="1" applyBorder="1"/>
    <x:xf numFmtId="200" fontId="7" fillId="5" borderId="17" xfId="0" applyNumberFormat="1" applyFont="1" applyFill="1" applyBorder="1"/>
    <x:xf numFmtId="201" fontId="0" fillId="0" borderId="15" xfId="0" applyNumberFormat="1" applyFont="1" applyFill="1" applyBorder="1"/>
    <x:xf numFmtId="201" fontId="7" fillId="5" borderId="15" xfId="0" applyNumberFormat="1" applyFont="1" applyFill="1" applyBorder="1"/>
    <x:xf numFmtId="201" fontId="0" fillId="0" borderId="16" xfId="0" applyNumberFormat="1" applyFont="1" applyFill="1" applyBorder="1"/>
    <x:xf numFmtId="201" fontId="7" fillId="5" borderId="16" xfId="0" applyNumberFormat="1" applyFont="1" applyFill="1" applyBorder="1"/>
    <x:xf numFmtId="201" fontId="0" fillId="0" borderId="17" xfId="0" applyNumberFormat="1" applyFont="1" applyFill="1" applyBorder="1"/>
    <x:xf numFmtId="201" fontId="7" fillId="5" borderId="17" xfId="0" applyNumberFormat="1" applyFont="1" applyFill="1" applyBorder="1"/>
    <x:xf numFmtId="201" fontId="0" fillId="0" borderId="15" xfId="0" applyNumberFormat="1" applyFont="1" applyFill="1" applyBorder="1" applyAlignment="1">
      <x:alignment horizontal="right"/>
    </x:xf>
    <x:xf numFmtId="201" fontId="7" fillId="5" borderId="15" xfId="0" applyNumberFormat="1" applyFont="1" applyFill="1" applyBorder="1" applyAlignment="1">
      <x:alignment horizontal="right"/>
    </x:xf>
    <x:xf numFmtId="201" fontId="0" fillId="0" borderId="16" xfId="0" applyNumberFormat="1" applyFont="1" applyFill="1" applyBorder="1" applyAlignment="1">
      <x:alignment horizontal="right"/>
    </x:xf>
    <x:xf numFmtId="201" fontId="7" fillId="5" borderId="16" xfId="0" applyNumberFormat="1" applyFont="1" applyFill="1" applyBorder="1" applyAlignment="1">
      <x:alignment horizontal="right"/>
    </x:xf>
    <x:xf numFmtId="201" fontId="0" fillId="0" borderId="17" xfId="0" applyNumberFormat="1" applyFont="1" applyFill="1" applyBorder="1" applyAlignment="1">
      <x:alignment horizontal="right"/>
    </x:xf>
    <x:xf numFmtId="201" fontId="7" fillId="5" borderId="17" xfId="0" applyNumberFormat="1" applyFont="1" applyFill="1" applyBorder="1" applyAlignment="1">
      <x:alignment horizontal="right"/>
    </x:xf>
    <x:xf numFmtId="203" fontId="7" fillId="5" borderId="0" xfId="0" applyNumberFormat="1" applyFont="1" applyFill="1" applyBorder="1"/>
    <x:xf numFmtId="203" fontId="7" fillId="5" borderId="15" xfId="0" applyNumberFormat="1" applyFont="1" applyFill="1" applyBorder="1"/>
    <x:xf numFmtId="203" fontId="7" fillId="5" borderId="16" xfId="0" applyNumberFormat="1" applyFont="1" applyFill="1" applyBorder="1"/>
    <x:xf numFmtId="0" fontId="3" fillId="2" borderId="0" xfId="0" applyNumberFormat="1" applyFont="1" applyFill="1" applyBorder="1"/>
    <x:xf numFmtId="0" fontId="3" fillId="2" borderId="18" xfId="0" applyNumberFormat="1" applyFont="1" applyFill="1" applyBorder="1"/>
    <x:xf numFmtId="0" fontId="3" fillId="2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201" fontId="0" fillId="0" borderId="20" xfId="0" applyNumberFormat="1" applyFont="1" applyFill="1" applyBorder="1"/>
    <x:xf numFmtId="201" fontId="0" fillId="0" borderId="21" xfId="0" applyNumberFormat="1" applyFont="1" applyFill="1" applyBorder="1"/>
    <x:xf numFmtId="201" fontId="0" fillId="0" borderId="23" xfId="0" applyNumberFormat="1" applyFont="1" applyFill="1" applyBorder="1"/>
    <x:xf numFmtId="201" fontId="0" fillId="0" borderId="25" xfId="0" applyNumberFormat="1" applyFont="1" applyFill="1" applyBorder="1"/>
    <x:xf numFmtId="201" fontId="0" fillId="0" borderId="20" xfId="0" applyNumberFormat="1" applyFont="1" applyFill="1" applyBorder="1" applyAlignment="1">
      <x:alignment horizontal="right"/>
    </x:xf>
    <x:xf numFmtId="201" fontId="0" fillId="0" borderId="21" xfId="0" applyNumberFormat="1" applyFont="1" applyFill="1" applyBorder="1" applyAlignment="1">
      <x:alignment horizontal="right"/>
    </x:xf>
    <x:xf numFmtId="201" fontId="0" fillId="0" borderId="23" xfId="0" applyNumberFormat="1" applyFont="1" applyFill="1" applyBorder="1" applyAlignment="1">
      <x:alignment horizontal="right"/>
    </x:xf>
    <x:xf numFmtId="201" fontId="0" fillId="0" borderId="25" xfId="0" applyNumberFormat="1" applyFont="1" applyFill="1" applyBorder="1" applyAlignment="1">
      <x:alignment horizontal="right"/>
    </x:xf>
    <x:xf numFmtId="0" fontId="0" fillId="6" borderId="22" xfId="0" applyNumberFormat="1" applyFont="1" applyFill="1" applyBorder="1"/>
    <x:xf numFmtId="201" fontId="0" fillId="6" borderId="16" xfId="0" applyNumberFormat="1" applyFont="1" applyFill="1" applyBorder="1" applyAlignment="1">
      <x:alignment horizontal="right"/>
    </x:xf>
    <x:xf numFmtId="201" fontId="0" fillId="6" borderId="23" xfId="0" applyNumberFormat="1" applyFont="1" applyFill="1" applyBorder="1" applyAlignment="1">
      <x:alignment horizontal="right"/>
    </x:xf>
    <x:xf numFmtId="0" fontId="8" fillId="6" borderId="22" xfId="0" applyNumberFormat="1" applyFont="1" applyFill="1" applyBorder="1"/>
    <x:xf numFmtId="201" fontId="8" fillId="6" borderId="16" xfId="0" applyNumberFormat="1" applyFont="1" applyFill="1" applyBorder="1" applyAlignment="1">
      <x:alignment horizontal="right"/>
    </x:xf>
    <x:xf numFmtId="201" fontId="8" fillId="6" borderId="23" xfId="0" applyNumberFormat="1" applyFont="1" applyFill="1" applyBorder="1" applyAlignment="1">
      <x:alignment horizontal="right"/>
    </x:xf>
    <x:xf numFmtId="0" fontId="8" fillId="6" borderId="26" xfId="0" applyNumberFormat="1" applyFont="1" applyFill="1" applyBorder="1"/>
    <x:xf numFmtId="201" fontId="8" fillId="6" borderId="27" xfId="0" applyNumberFormat="1" applyFont="1" applyFill="1" applyBorder="1" applyAlignment="1">
      <x:alignment horizontal="right"/>
    </x:xf>
    <x:xf numFmtId="0" fontId="0" fillId="6" borderId="24" xfId="0" applyNumberFormat="1" applyFont="1" applyFill="1" applyBorder="1"/>
    <x:xf numFmtId="201" fontId="0" fillId="6" borderId="17" xfId="0" applyNumberFormat="1" applyFont="1" applyFill="1" applyBorder="1" applyAlignment="1">
      <x:alignment horizontal="right"/>
    </x:xf>
    <x:xf numFmtId="201" fontId="0" fillId="6" borderId="25" xfId="0" applyNumberFormat="1" applyFont="1" applyFill="1" applyBorder="1" applyAlignment="1">
      <x:alignment horizontal="right"/>
    </x:xf>
    <x:xf numFmtId="0" fontId="8" fillId="6" borderId="24" xfId="0" applyNumberFormat="1" applyFont="1" applyFill="1" applyBorder="1"/>
    <x:xf numFmtId="201" fontId="8" fillId="6" borderId="17" xfId="0" applyNumberFormat="1" applyFont="1" applyFill="1" applyBorder="1" applyAlignment="1">
      <x:alignment horizontal="right"/>
    </x:xf>
    <x:xf numFmtId="201" fontId="8" fillId="6" borderId="25" xfId="0" applyNumberFormat="1" applyFont="1" applyFill="1" applyBorder="1" applyAlignment="1">
      <x:alignment horizontal="right"/>
    </x:xf>
    <x:xf numFmtId="0" fontId="8" fillId="6" borderId="28" xfId="0" applyNumberFormat="1" applyFont="1" applyFill="1" applyBorder="1"/>
    <x:xf numFmtId="201" fontId="8" fillId="6" borderId="29" xfId="0" applyNumberFormat="1" applyFont="1" applyFill="1" applyBorder="1" applyAlignment="1">
      <x:alignment horizontal="right"/>
    </x:xf>
    <x:xf numFmtId="201" fontId="9" fillId="0" borderId="16" xfId="0" applyNumberFormat="1" applyFont="1" applyFill="1" applyBorder="1" applyAlignment="1">
      <x:alignment horizontal="right"/>
    </x:xf>
    <x:xf numFmtId="201" fontId="9" fillId="0" borderId="23" xfId="0" applyNumberFormat="1" applyFont="1" applyFill="1" applyBorder="1" applyAlignment="1">
      <x:alignment horizontal="right"/>
    </x:xf>
    <x:xf numFmtId="201" fontId="10" fillId="6" borderId="27" xfId="0" applyNumberFormat="1" applyFont="1" applyFill="1" applyBorder="1" applyAlignment="1">
      <x:alignment horizontal="right"/>
    </x:xf>
    <x:xf numFmtId="0" fontId="3" fillId="2" borderId="30" xfId="0" applyNumberFormat="1" applyFont="1" applyFill="1" applyBorder="1"/>
    <x:xf numFmtId="204" fontId="0" fillId="0" borderId="16" xfId="0" applyNumberFormat="1" applyFont="1" applyFill="1" applyBorder="1" applyAlignment="1">
      <x:alignment horizontal="right"/>
    </x:xf>
    <x:xf numFmtId="204" fontId="0" fillId="0" borderId="23" xfId="0" applyNumberFormat="1" applyFont="1" applyFill="1" applyBorder="1" applyAlignment="1">
      <x:alignment horizontal="right"/>
    </x:xf>
    <x:xf numFmtId="204" fontId="0" fillId="6" borderId="16" xfId="0" applyNumberFormat="1" applyFont="1" applyFill="1" applyBorder="1" applyAlignment="1">
      <x:alignment horizontal="right"/>
    </x:xf>
    <x:xf numFmtId="204" fontId="0" fillId="6" borderId="23" xfId="0" applyNumberFormat="1" applyFont="1" applyFill="1" applyBorder="1" applyAlignment="1">
      <x:alignment horizontal="right"/>
    </x:xf>
    <x:xf numFmtId="204" fontId="8" fillId="6" borderId="16" xfId="0" applyNumberFormat="1" applyFont="1" applyFill="1" applyBorder="1" applyAlignment="1">
      <x:alignment horizontal="right"/>
    </x:xf>
    <x:xf numFmtId="204" fontId="8" fillId="6" borderId="23" xfId="0" applyNumberFormat="1" applyFont="1" applyFill="1" applyBorder="1" applyAlignment="1">
      <x:alignment horizontal="right"/>
    </x:xf>
    <x:xf numFmtId="204" fontId="8" fillId="6" borderId="27" xfId="0" applyNumberFormat="1" applyFont="1" applyFill="1" applyBorder="1" applyAlignment="1">
      <x:alignment horizontal="right"/>
    </x:xf>
    <x:xf numFmtId="205" fontId="0" fillId="0" borderId="0" xfId="0" applyNumberFormat="1" applyFont="1" applyFill="1" applyBorder="1"/>
    <x:xf numFmtId="205" fontId="0" fillId="0" borderId="16" xfId="0" applyNumberFormat="1" applyFont="1" applyFill="1" applyBorder="1"/>
    <x:xf numFmtId="205" fontId="0" fillId="0" borderId="23" xfId="0" applyNumberFormat="1" applyFont="1" applyFill="1" applyBorder="1"/>
    <x:xf numFmtId="202" fontId="7" fillId="5" borderId="23" xfId="0" applyNumberFormat="1" applyFont="1" applyFill="1" applyBorder="1"/>
    <x:xf numFmtId="201" fontId="7" fillId="5" borderId="23" xfId="0" applyNumberFormat="1" applyFont="1" applyFill="1" applyBorder="1"/>
    <x:xf numFmtId="201" fontId="7" fillId="5" borderId="23" xfId="0" applyNumberFormat="1" applyFont="1" applyFill="1" applyBorder="1" applyAlignment="1">
      <x:alignment horizontal="right"/>
    </x:xf>
    <x:xf numFmtId="201" fontId="7" fillId="6" borderId="23" xfId="0" applyNumberFormat="1" applyFont="1" applyFill="1" applyBorder="1" applyAlignment="1">
      <x:alignment horizontal="right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3" fillId="4" borderId="7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206" fontId="8" fillId="6" borderId="27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0" fillId="0" xfId="0" applyNumberFormat="1" applyFont="1" applyFill="1" applyBorder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5d2ed4d1e445a" /><Relationship Type="http://schemas.openxmlformats.org/officeDocument/2006/relationships/theme" Target="/xl/theme/theme1.xml" Id="Ref957d24a1df46e1" /><Relationship Type="http://schemas.openxmlformats.org/officeDocument/2006/relationships/sharedStrings" Target="/xl/sharedStrings.xml" Id="Rbd3366dfdac2457a" /><Relationship Type="http://schemas.openxmlformats.org/officeDocument/2006/relationships/worksheet" Target="/xl/worksheets/sheet1.xml" Id="R70574ccd77094f73" /><Relationship Type="http://schemas.openxmlformats.org/officeDocument/2006/relationships/worksheet" Target="/xl/worksheets/sheet2.xml" Id="R2f60695eef1a4506" /><Relationship Type="http://schemas.openxmlformats.org/officeDocument/2006/relationships/worksheet" Target="/xl/worksheets/sheet3.xml" Id="R463558734a594469" /><Relationship Type="http://schemas.openxmlformats.org/officeDocument/2006/relationships/worksheet" Target="/xl/worksheets/sheet4.xml" Id="Rb03789d3d72e47fe" /><Relationship Type="http://schemas.openxmlformats.org/officeDocument/2006/relationships/worksheet" Target="/xl/worksheets/sheet5.xml" Id="R59eda36436734c18" /><Relationship Type="http://schemas.openxmlformats.org/officeDocument/2006/relationships/worksheet" Target="/xl/worksheets/sheet6.xml" Id="R509acacd7280479e" /><Relationship Type="http://schemas.openxmlformats.org/officeDocument/2006/relationships/worksheet" Target="/xl/worksheets/sheet7.xml" Id="Rc1e56a38be664a0b" /><Relationship Type="http://schemas.openxmlformats.org/officeDocument/2006/relationships/worksheet" Target="/xl/worksheets/sheet8.xml" Id="Ra98fc497596e47bc" /><Relationship Type="http://schemas.openxmlformats.org/officeDocument/2006/relationships/worksheet" Target="/xl/worksheets/sheet9.xml" Id="Rfb8eb3b66a9749b9" /><Relationship Type="http://schemas.openxmlformats.org/officeDocument/2006/relationships/worksheet" Target="/xl/worksheets/sheet10.xml" Id="R3c7bc89608234b7a" /><Relationship Type="http://schemas.openxmlformats.org/officeDocument/2006/relationships/worksheet" Target="/xl/worksheets/sheet11.xml" Id="Rf63eae882d284515" /><Relationship Type="http://schemas.microsoft.com/office/2017/10/relationships/person" Target="/xl/persons/person.xml" Id="R7d61d53a1406445a" /></Relationships>
</file>

<file path=xl/persons/person.xml><?xml version="1.0" encoding="utf-8"?>
<xltc:personList xmlns:xltc="http://schemas.microsoft.com/office/spreadsheetml/2018/threadedcomments">
  <xltc:person displayName="User" id="{21CEC4BA-71F0-4BCA-A3E9-C4EEB4DB9444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20" dT="2026-08-09T19:46:49.057" personId="{21CEC4BA-71F0-4BCA-A3E9-C4EEB4DB9444}" id="{ED3A857B-D042-39F1-39D3-5D155BAD78C4}">
    <xltc:text>2026 H2 tahmini H1 gerçekleşen rakamlarının çarpanı olarak modellenmiştir. Şirket rehberi/3Ç gerçekleşmeleri geldikçe güncellenmelidir.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H20" dT="2026-08-09T19:46:49.119" personId="{21CEC4BA-71F0-4BCA-A3E9-C4EEB4DB9444}" id="{C73EFEB1-E88B-DB02-991B-2FFA3C937A72}">
    <xltc:text>Diğer yükümlülükler detay kırılımı kaynak rapor ile ayrıştırıldığında bu satır sadeleştirilebilir. Şu an mimariyi korumak için ayrı işaretlendi.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2" dT="2026-08-09T19:46:49.155" personId="{21CEC4BA-71F0-4BCA-A3E9-C4EEB4DB9444}" id="{43F0A4AD-A24A-1959-546B-0EDEA0CDD870}">
    <xltc:text>Eksik entegrasyon: borçların para birimi, faiz oranı, vade, lease yükümlülükleri ve kur farkı detayları henüz ayrı schedule olarak ayrıştırılmadı.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6e58d44ed7e4ede" /><Relationship Type="http://schemas.openxmlformats.org/officeDocument/2006/relationships/vmlDrawing" Target="/xl/drawings/vmldrawing.vml" Id="Re467e2f3c0d342e9" /><Relationship Type="http://schemas.microsoft.com/office/2017/10/relationships/threadedComment" Target="/xl/threadedcomments/threadedcomment.xml" Id="R8efee84be64542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1864d4fc5a044c0f" /><Relationship Type="http://schemas.openxmlformats.org/officeDocument/2006/relationships/vmlDrawing" Target="/xl/drawings/vmldrawing2.vml" Id="R8bf15aeb6a04468f" /><Relationship Type="http://schemas.microsoft.com/office/2017/10/relationships/threadedComment" Target="/xl/threadedcomments/threadedcomment2.xml" Id="Rf8cf57da1af94a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3.xml" Id="Ra52b2f75c5c9482c" /><Relationship Type="http://schemas.openxmlformats.org/officeDocument/2006/relationships/vmlDrawing" Target="/xl/drawings/vmldrawing3.vml" Id="Ra18f2da2ef354b2c" /><Relationship Type="http://schemas.microsoft.com/office/2017/10/relationships/threadedComment" Target="/xl/threadedcomments/threadedcomment3.xml" Id="R7570b8d1f25443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129" t="str">
        <x:v>TÜPRAŞ 3-Tablolu Finansal Model</x:v>
      </x:c>
    </x:row>
    <x:row r="3">
      <x:c r="A3" s="4" t="str">
        <x:v>Şirket</x:v>
      </x:c>
      <x:c r="B3" s="5" t="str">
        <x:v>Türkiye Petrol Rafinerileri A.Ş. (Tüpraş)</x:v>
      </x:c>
    </x:row>
    <x:row r="4">
      <x:c r="A4" s="4" t="str">
        <x:v>Para Birimi / Ölçek</x:v>
      </x:c>
      <x:c r="B4" s="6" t="str">
        <x:v>TL, bin TL</x:v>
      </x:c>
    </x:row>
    <x:row r="5">
      <x:c r="A5" s="4" t="str">
        <x:v>Geçmiş Dönem</x:v>
      </x:c>
      <x:c r="B5" s="6" t="str">
        <x:v>2023-2025 gerçekleşen</x:v>
      </x:c>
    </x:row>
    <x:row r="6">
      <x:c r="A6" s="4" t="str">
        <x:v>Ara Dönem</x:v>
      </x:c>
      <x:c r="B6" s="6" t="str">
        <x:v>2026 ilk 6 ay gerçekleşen</x:v>
      </x:c>
    </x:row>
    <x:row r="7">
      <x:c r="A7" s="4" t="str">
        <x:v>2026 Yapısı</x:v>
      </x:c>
      <x:c r="B7" s="6" t="str">
        <x:v>2026 H1A + 2026 H2E = 2026 FYE</x:v>
      </x:c>
    </x:row>
    <x:row r="8">
      <x:c r="A8" s="4" t="str">
        <x:v>Tahmin Dönemi</x:v>
      </x:c>
      <x:c r="B8" s="6" t="str">
        <x:v>2027-2030 tahmin</x:v>
      </x:c>
    </x:row>
    <x:row r="9">
      <x:c r="A9" s="4" t="str">
        <x:v>Durum</x:v>
      </x:c>
      <x:c r="B9" s="6" t="str">
        <x:v>Ana 3 tablo bağlantıları tamamlandı; eksik detay alanları ayrı notlandı</x:v>
      </x:c>
    </x:row>
    <x:row r="10">
      <x:c r="A10" s="4" t="str">
        <x:v>Versiyon</x:v>
      </x:c>
      <x:c r="B10" s="7" t="str">
        <x:v>2026-08-09</x:v>
      </x:c>
    </x:row>
    <x:row r="12">
      <x:c r="A12" s="13" t="str">
        <x:v>Özet</x:v>
      </x:c>
      <x:c r="B12" s="14" t="str">
        <x:v>2023 Gerçekleşen</x:v>
      </x:c>
      <x:c r="C12" s="14" t="str">
        <x:v>2024 Gerçekleşen</x:v>
      </x:c>
      <x:c r="D12" s="14" t="str">
        <x:v>2025 Gerçekleşen</x:v>
      </x:c>
      <x:c r="E12" s="14" t="str">
        <x:v>2026 İlk 6 Ay Gerçekleşen</x:v>
      </x:c>
      <x:c r="F12" s="14" t="str">
        <x:v>2026 İkinci 6 Ay Tahmin</x:v>
      </x:c>
      <x:c r="G12" s="14" t="str">
        <x:v>2026 Yıl Sonu Tahmin</x:v>
      </x:c>
      <x:c r="H12" s="14" t="str">
        <x:v>2027 Tahmin</x:v>
      </x:c>
      <x:c r="I12" s="14" t="str">
        <x:v>2028 Tahmin</x:v>
      </x:c>
      <x:c r="J12" s="14" t="str">
        <x:v>2029 Tahmin</x:v>
      </x:c>
      <x:c r="K12" s="15" t="str">
        <x:v>2030 Tahmin</x:v>
      </x:c>
    </x:row>
    <x:row r="13">
      <x:c r="A13" s="16" t="str">
        <x:v>Hasılat</x:v>
      </x:c>
      <x:c r="B13" s="12" t="n">
        <x:f>'Gelir Tablosu'!B6</x:f>
        <x:v>686528507</x:v>
      </x:c>
      <x:c r="C13" s="12" t="n">
        <x:f>'Gelir Tablosu'!C6</x:f>
        <x:v>810385588</x:v>
      </x:c>
      <x:c r="D13" s="12" t="n">
        <x:f>'Gelir Tablosu'!D6</x:f>
        <x:v>830356131</x:v>
      </x:c>
      <x:c r="E13" s="12" t="n">
        <x:f>'Gelir Tablosu'!E6</x:f>
        <x:v>662788010</x:v>
      </x:c>
      <x:c r="F13" s="12" t="n">
        <x:f>'Gelir Tablosu'!F6</x:f>
        <x:v>662788010</x:v>
      </x:c>
      <x:c r="G13" s="12" t="n">
        <x:f>'Gelir Tablosu'!G6</x:f>
        <x:v>1325576020</x:v>
      </x:c>
      <x:c r="H13" s="12" t="n">
        <x:f>'Gelir Tablosu'!H6</x:f>
        <x:v>1431622101.6000001</x:v>
      </x:c>
      <x:c r="I13" s="12" t="n">
        <x:f>'Gelir Tablosu'!I6</x:f>
        <x:v>1517519427.6960003</x:v>
      </x:c>
      <x:c r="J13" s="12" t="n">
        <x:f>'Gelir Tablosu'!J6</x:f>
        <x:v>1593395399.0808005</x:v>
      </x:c>
      <x:c r="K13" s="17" t="n">
        <x:f>'Gelir Tablosu'!K6</x:f>
        <x:v>1657131215.0440326</x:v>
      </x:c>
    </x:row>
    <x:row r="14">
      <x:c r="A14" s="16" t="str">
        <x:v>FAVÖK</x:v>
      </x:c>
      <x:c r="B14" s="12" t="n">
        <x:f>'Gelir Tablosu'!B13</x:f>
        <x:v>86077974</x:v>
      </x:c>
      <x:c r="C14" s="12" t="n">
        <x:f>'Gelir Tablosu'!C13</x:f>
        <x:v>51510266</x:v>
      </x:c>
      <x:c r="D14" s="12" t="n">
        <x:f>'Gelir Tablosu'!D13</x:f>
        <x:v>60847297</x:v>
      </x:c>
      <x:c r="E14" s="12" t="n">
        <x:f>'Gelir Tablosu'!E13</x:f>
        <x:v>70375344</x:v>
      </x:c>
      <x:c r="F14" s="12" t="n">
        <x:f>'Gelir Tablosu'!F13</x:f>
        <x:v>70375344</x:v>
      </x:c>
      <x:c r="G14" s="12" t="n">
        <x:f>'Gelir Tablosu'!G13</x:f>
        <x:v>140750688</x:v>
      </x:c>
      <x:c r="H14" s="12" t="n">
        <x:f>'Gelir Tablosu'!H13</x:f>
        <x:v>152010743.04000005</x:v>
      </x:c>
      <x:c r="I14" s="12" t="n">
        <x:f>'Gelir Tablosu'!I13</x:f>
        <x:v>161131387.62240002</x:v>
      </x:c>
      <x:c r="J14" s="12" t="n">
        <x:f>'Gelir Tablosu'!J13</x:f>
        <x:v>169187957.00352013</x:v>
      </x:c>
      <x:c r="K14" s="17" t="n">
        <x:f>'Gelir Tablosu'!K13</x:f>
        <x:v>175955475.28366095</x:v>
      </x:c>
    </x:row>
    <x:row r="15">
      <x:c r="A15" s="16" t="str">
        <x:v>FAVÖK Marjı</x:v>
      </x:c>
      <x:c r="B15" s="12" t="n">
        <x:f>B14/B13</x:f>
        <x:v>0.1253814999993875</x:v>
      </x:c>
      <x:c r="C15" s="12" t="n">
        <x:f>C14/C13</x:f>
        <x:v>0.06356266296285615</x:v>
      </x:c>
      <x:c r="D15" s="12" t="n">
        <x:f>D14/D13</x:f>
        <x:v>0.0732785545001293</x:v>
      </x:c>
      <x:c r="E15" s="12" t="n">
        <x:f>E14/E13</x:f>
        <x:v>0.10618077415130066</x:v>
      </x:c>
      <x:c r="F15" s="12" t="n">
        <x:f>F14/F13</x:f>
        <x:v>0.10618077415130066</x:v>
      </x:c>
      <x:c r="G15" s="12" t="n">
        <x:f>G14/G13</x:f>
        <x:v>0.10618077415130066</x:v>
      </x:c>
      <x:c r="H15" s="12" t="n">
        <x:f>H14/H13</x:f>
        <x:v>0.10618077415130069</x:v>
      </x:c>
      <x:c r="I15" s="12" t="n">
        <x:f>I14/I13</x:f>
        <x:v>0.10618077415130064</x:v>
      </x:c>
      <x:c r="J15" s="12" t="n">
        <x:f>J14/J13</x:f>
        <x:v>0.1061807741513007</x:v>
      </x:c>
      <x:c r="K15" s="17" t="n">
        <x:f>K14/K13</x:f>
        <x:v>0.10618077415130071</x:v>
      </x:c>
    </x:row>
    <x:row r="16">
      <x:c r="A16" s="16" t="str">
        <x:v>Net Dönem Kârı</x:v>
      </x:c>
      <x:c r="B16" s="12" t="n">
        <x:f>'Gelir Tablosu'!B21</x:f>
        <x:v>53872161</x:v>
      </x:c>
      <x:c r="C16" s="12" t="n">
        <x:f>'Gelir Tablosu'!C21</x:f>
        <x:v>19033640</x:v>
      </x:c>
      <x:c r="D16" s="12" t="n">
        <x:f>'Gelir Tablosu'!D21</x:f>
        <x:v>29872672</x:v>
      </x:c>
      <x:c r="E16" s="12" t="n">
        <x:f>'Gelir Tablosu'!E21</x:f>
        <x:v>50272473</x:v>
      </x:c>
      <x:c r="F16" s="12" t="n">
        <x:f>'Gelir Tablosu'!F21</x:f>
        <x:v>47650376.44197976</x:v>
      </x:c>
      <x:c r="G16" s="12" t="n">
        <x:f>'Gelir Tablosu'!G21</x:f>
        <x:v>97922849.44197977</x:v>
      </x:c>
      <x:c r="H16" s="12" t="n">
        <x:f>'Gelir Tablosu'!H21</x:f>
        <x:v>102924813.11467633</x:v>
      </x:c>
      <x:c r="I16" s="12" t="n">
        <x:f>'Gelir Tablosu'!I21</x:f>
        <x:v>109100301.90155686</x:v>
      </x:c>
      <x:c r="J16" s="12" t="n">
        <x:f>'Gelir Tablosu'!J21</x:f>
        <x:v>114555316.9966348</x:v>
      </x:c>
      <x:c r="K16" s="17" t="n">
        <x:f>'Gelir Tablosu'!K21</x:f>
        <x:v>119137529.67650023</x:v>
      </x:c>
    </x:row>
    <x:row r="17">
      <x:c r="A17" s="16" t="str">
        <x:v>Serbest Nakit Akışı</x:v>
      </x:c>
      <x:c r="B17" s="12" t="n">
        <x:f>'Nakit Akış'!B24</x:f>
        <x:v>15789800</x:v>
      </x:c>
      <x:c r="C17" s="12" t="n">
        <x:f>'Nakit Akış'!C24</x:f>
        <x:v>-6359810</x:v>
      </x:c>
      <x:c r="D17" s="12" t="n">
        <x:f>'Nakit Akış'!D24</x:f>
        <x:v>-17891907</x:v>
      </x:c>
      <x:c r="E17" s="12" t="n">
        <x:f>'Nakit Akış'!E24</x:f>
        <x:v>107164150</x:v>
      </x:c>
      <x:c r="F17" s="12" t="n">
        <x:f>'Nakit Akış'!F24</x:f>
        <x:v>114575744.40313157</x:v>
      </x:c>
      <x:c r="G17" s="12" t="n">
        <x:f>'Nakit Akış'!G24</x:f>
        <x:v>161654090.18363845</x:v>
      </x:c>
      <x:c r="H17" s="12" t="n">
        <x:f>'Nakit Akış'!H24</x:f>
        <x:v>102413982.07394072</x:v>
      </x:c>
      <x:c r="I17" s="12" t="n">
        <x:f>'Nakit Akış'!I24</x:f>
        <x:v>107353533.80774699</x:v>
      </x:c>
      <x:c r="J17" s="12" t="n">
        <x:f>'Nakit Akış'!J24</x:f>
        <x:v>112070355.41519423</x:v>
      </x:c>
      <x:c r="K17" s="17" t="n">
        <x:f>'Nakit Akış'!K24</x:f>
        <x:v>115863263.2438852</x:v>
      </x:c>
    </x:row>
    <x:row r="18">
      <x:c r="A18" s="16" t="str">
        <x:v>Dönem Sonu Nakit</x:v>
      </x:c>
      <x:c r="B18" s="12" t="n">
        <x:f>'Nakit Akış'!B26</x:f>
        <x:v>61250110</x:v>
      </x:c>
      <x:c r="C18" s="12" t="n">
        <x:f>'Nakit Akış'!C26</x:f>
        <x:v>54890300</x:v>
      </x:c>
      <x:c r="D18" s="12" t="n">
        <x:f>'Nakit Akış'!D26</x:f>
        <x:v>72110450</x:v>
      </x:c>
      <x:c r="E18" s="12" t="n">
        <x:f>'Nakit Akış'!E26</x:f>
        <x:v>179274600</x:v>
      </x:c>
      <x:c r="F18" s="12" t="n">
        <x:f>'Nakit Akış'!F26</x:f>
        <x:v>293850344.4031316</x:v>
      </x:c>
      <x:c r="G18" s="12" t="n">
        <x:f>'Nakit Akış'!G26</x:f>
        <x:v>520203290.18363845</x:v>
      </x:c>
      <x:c r="H18" s="12" t="n">
        <x:f>'Nakit Akış'!H26</x:f>
        <x:v>622617272.2575792</x:v>
      </x:c>
      <x:c r="I18" s="12" t="n">
        <x:f>'Nakit Akış'!I26</x:f>
        <x:v>729970806.0653262</x:v>
      </x:c>
      <x:c r="J18" s="12" t="n">
        <x:f>'Nakit Akış'!J26</x:f>
        <x:v>842041161.4805205</x:v>
      </x:c>
      <x:c r="K18" s="17" t="n">
        <x:f>'Nakit Akış'!K26</x:f>
        <x:v>957904424.7244056</x:v>
      </x:c>
    </x:row>
    <x:row r="19">
      <x:c r="A19" s="16" t="str">
        <x:v>Net Borç</x:v>
      </x:c>
      <x:c r="B19" s="12" t="n">
        <x:f>'Bilanço'!B18+'Bilanço'!B23-'Bilanço'!B6</x:f>
        <x:v>-27639910</x:v>
      </x:c>
      <x:c r="C19" s="12" t="n">
        <x:f>'Bilanço'!C18+'Bilanço'!C23-'Bilanço'!C6</x:f>
        <x:v>-19939600</x:v>
      </x:c>
      <x:c r="D19" s="12" t="n">
        <x:f>'Bilanço'!D18+'Bilanço'!D23-'Bilanço'!D6</x:f>
        <x:v>-7410150</x:v>
      </x:c>
      <x:c r="E19" s="12" t="n">
        <x:f>'Bilanço'!E18+'Bilanço'!E23-'Bilanço'!E6</x:f>
        <x:v>-33929600</x:v>
      </x:c>
      <x:c r="F19" s="12" t="n">
        <x:f>'Bilanço'!F18+'Bilanço'!F23-'Bilanço'!F6</x:f>
        <x:v>-182549844.4031316</x:v>
      </x:c>
      <x:c r="G19" s="12" t="n">
        <x:f>'Bilanço'!G18+'Bilanço'!G23-'Bilanço'!G6</x:f>
        <x:v>-408902790.18363845</x:v>
      </x:c>
      <x:c r="H19" s="12" t="n">
        <x:f>'Bilanço'!H18+'Bilanço'!H23-'Bilanço'!H6</x:f>
        <x:v>-511316772.2575792</x:v>
      </x:c>
      <x:c r="I19" s="12" t="n">
        <x:f>'Bilanço'!I18+'Bilanço'!I23-'Bilanço'!I6</x:f>
        <x:v>-618670306.0653262</x:v>
      </x:c>
      <x:c r="J19" s="12" t="n">
        <x:f>'Bilanço'!J18+'Bilanço'!J23-'Bilanço'!J6</x:f>
        <x:v>-730740661.4805205</x:v>
      </x:c>
      <x:c r="K19" s="17" t="n">
        <x:f>'Bilanço'!K18+'Bilanço'!K23-'Bilanço'!K6</x:f>
        <x:v>-846603924.7244056</x:v>
      </x:c>
    </x:row>
    <x:row r="20">
      <x:c r="A20" s="18" t="str">
        <x:v>Bilanço Kontrolü</x:v>
      </x:c>
      <x:c r="B20" s="19" t="n">
        <x:f>'Bilanço'!B33</x:f>
        <x:v>0</x:v>
      </x:c>
      <x:c r="C20" s="19" t="n">
        <x:f>'Bilanço'!C33</x:f>
        <x:v>0</x:v>
      </x:c>
      <x:c r="D20" s="19" t="n">
        <x:f>'Bilanço'!D33</x:f>
        <x:v>0</x:v>
      </x:c>
      <x:c r="E20" s="19" t="n">
        <x:f>'Bilanço'!E33</x:f>
        <x:v>0</x:v>
      </x:c>
      <x:c r="F20" s="19" t="n">
        <x:f>'Bilanço'!F33</x:f>
        <x:v>0</x:v>
      </x:c>
      <x:c r="G20" s="19" t="n">
        <x:f>'Bilanço'!G33</x:f>
        <x:v>0</x:v>
      </x:c>
      <x:c r="H20" s="19" t="n">
        <x:f>'Bilanço'!H33</x:f>
        <x:v>0</x:v>
      </x:c>
      <x:c r="I20" s="19" t="n">
        <x:f>'Bilanço'!I33</x:f>
        <x:v>0</x:v>
      </x:c>
      <x:c r="J20" s="19" t="n">
        <x:f>'Bilanço'!J33</x:f>
        <x:v>0</x:v>
      </x:c>
      <x:c r="K20" s="20" t="n">
        <x:f>'Bilanço'!K33</x:f>
        <x:v>-2.384185791015625e-7</x:v>
      </x:c>
    </x:row>
    <x:row r="22">
      <x:c r="A22" s="23" t="str">
        <x:v>Renk kodu: mavi yazı = kullanıcı varsayımı, yeşil yazı = başka sekmeden bağlantı/formül, sarı zemin = güncellenmesi gereken ana varsayım.</x:v>
      </x:c>
    </x:row>
  </x:sheetData>
  <x:mergeCells>
    <x:mergeCell ref="A1:K1"/>
    <x:mergeCell ref="A22:K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5" t="str">
        <x:v>VARSAYIMLAR</x:v>
      </x:c>
    </x:row>
    <x:row r="2">
      <x:c r="A2" s="26" t="str">
        <x:v>Mavi yazılı sarı hücreler kullanıcı tarafından güncellenebilir varsayımlardır</x:v>
      </x:c>
    </x:row>
    <x:row r="4">
      <x:c r="A4" s="36" t="str">
        <x:v>Kalem</x:v>
      </x:c>
      <x:c r="B4" s="34" t="str">
        <x:v>2023 Gerçekleşen</x:v>
      </x:c>
      <x:c r="C4" s="34" t="str">
        <x:v>2024 Gerçekleşen</x:v>
      </x:c>
      <x:c r="D4" s="34" t="str">
        <x:v>2025 Gerçekleşen</x:v>
      </x:c>
      <x:c r="E4" s="34" t="str">
        <x:v>2026 İlk 6 Ay Gerçekleşen</x:v>
      </x:c>
      <x:c r="F4" s="34" t="str">
        <x:v>2026 İkinci 6 Ay Tahmin</x:v>
      </x:c>
      <x:c r="G4" s="34" t="str">
        <x:v>2026 Yıl Sonu Tahmin</x:v>
      </x:c>
      <x:c r="H4" s="34" t="str">
        <x:v>2027 Tahmin</x:v>
      </x:c>
      <x:c r="I4" s="34" t="str">
        <x:v>2028 Tahmin</x:v>
      </x:c>
      <x:c r="J4" s="34" t="str">
        <x:v>2029 Tahmin</x:v>
      </x:c>
      <x:c r="K4" s="35" t="str">
        <x:v>2030 Tahmin</x:v>
      </x:c>
    </x:row>
    <x:row r="5">
      <x:c r="A5" s="41" t="str">
        <x:v>Hasılat Büyümesi</x:v>
      </x:c>
      <x:c r="B5" s="58"/>
      <x:c r="C5" s="58" t="n">
        <x:f>C6/B6-1</x:f>
        <x:v>0.09032593124929278</x:v>
      </x:c>
      <x:c r="D5" s="58" t="n">
        <x:f>D6/C6-1</x:f>
        <x:v>-0.015152166610514994</x:v>
      </x:c>
      <x:c r="E5" s="58"/>
      <x:c r="F5" s="59" t="n">
        <x:f>F6/E6-1</x:f>
        <x:v>0</x:v>
      </x:c>
      <x:c r="G5" s="59" t="n">
        <x:f>G6/D6-1</x:f>
        <x:v>-0.0322541090282672</x:v>
      </x:c>
      <x:c r="H5" s="59" t="n">
        <x:v>0.08</x:v>
      </x:c>
      <x:c r="I5" s="59" t="n">
        <x:v>0.06</x:v>
      </x:c>
      <x:c r="J5" s="59" t="n">
        <x:v>0.05</x:v>
      </x:c>
      <x:c r="K5" s="59" t="n">
        <x:v>0.04</x:v>
      </x:c>
    </x:row>
    <x:row r="6">
      <x:c r="A6" s="44" t="str">
        <x:v>Satışların Maliyeti / Hasılat</x:v>
      </x:c>
      <x:c r="B6" s="60" t="n">
        <x:f>ABS('Gelir Tablosu'!B7)/'Gelir Tablosu'!B6</x:f>
        <x:v>0.8401633917876042</x:v>
      </x:c>
      <x:c r="C6" s="60" t="n">
        <x:f>ABS('Gelir Tablosu'!C7)/'Gelir Tablosu'!C6</x:f>
        <x:v>0.9160519325523839</x:v>
      </x:c>
      <x:c r="D6" s="60" t="n">
        <x:f>ABS('Gelir Tablosu'!D7)/'Gelir Tablosu'!D6</x:f>
        <x:v>0.902171761046466</x:v>
      </x:c>
      <x:c r="E6" s="60" t="n">
        <x:f>ABS('Gelir Tablosu'!E7)/'Gelir Tablosu'!E6</x:f>
        <x:v>0.8730730147034494</x:v>
      </x:c>
      <x:c r="F6" s="61" t="n">
        <x:f>E6</x:f>
        <x:v>0.8730730147034494</x:v>
      </x:c>
      <x:c r="G6" s="61" t="n">
        <x:f>F6</x:f>
        <x:v>0.8730730147034494</x:v>
      </x:c>
      <x:c r="H6" s="61" t="n">
        <x:f>G6</x:f>
        <x:v>0.8730730147034494</x:v>
      </x:c>
      <x:c r="I6" s="61" t="n">
        <x:f>H6</x:f>
        <x:v>0.8730730147034494</x:v>
      </x:c>
      <x:c r="J6" s="61" t="n">
        <x:f>I6</x:f>
        <x:v>0.8730730147034494</x:v>
      </x:c>
      <x:c r="K6" s="61" t="n">
        <x:f>J6</x:f>
        <x:v>0.8730730147034494</x:v>
      </x:c>
    </x:row>
    <x:row r="7">
      <x:c r="A7" s="44" t="str">
        <x:v>Brüt Kâr Marjı</x:v>
      </x:c>
      <x:c r="B7" s="60" t="n">
        <x:f>1-B6</x:f>
        <x:v>0.15983660821239576</x:v>
      </x:c>
      <x:c r="C7" s="60" t="n">
        <x:f>1-C6</x:f>
        <x:v>0.08394806744761607</x:v>
      </x:c>
      <x:c r="D7" s="60" t="n">
        <x:f>1-D6</x:f>
        <x:v>0.09782823895353399</x:v>
      </x:c>
      <x:c r="E7" s="60" t="n">
        <x:f>1-E6</x:f>
        <x:v>0.12692698529655055</x:v>
      </x:c>
      <x:c r="F7" s="61" t="n">
        <x:f>1-F6</x:f>
        <x:v>0.12692698529655055</x:v>
      </x:c>
      <x:c r="G7" s="61" t="n">
        <x:f>1-G6</x:f>
        <x:v>0.12692698529655055</x:v>
      </x:c>
      <x:c r="H7" s="61" t="n">
        <x:f>1-H6</x:f>
        <x:v>0.12692698529655055</x:v>
      </x:c>
      <x:c r="I7" s="61" t="n">
        <x:f>1-I6</x:f>
        <x:v>0.12692698529655055</x:v>
      </x:c>
      <x:c r="J7" s="61" t="n">
        <x:f>1-J6</x:f>
        <x:v>0.12692698529655055</x:v>
      </x:c>
      <x:c r="K7" s="61" t="n">
        <x:f>1-K6</x:f>
        <x:v>0.12692698529655055</x:v>
      </x:c>
    </x:row>
    <x:row r="8">
      <x:c r="A8" s="44" t="str">
        <x:v>Faaliyet Giderleri / Hasılat</x:v>
      </x:c>
      <x:c r="B8" s="60" t="n">
        <x:f>ABS('Gelir Tablosu'!B10)/'Gelir Tablosu'!B6</x:f>
        <x:v>0.05259011626155241</x:v>
      </x:c>
      <x:c r="C8" s="60" t="n">
        <x:f>ABS('Gelir Tablosu'!C10)/'Gelir Tablosu'!C6</x:f>
        <x:v>0.03988266632402155</x:v>
      </x:c>
      <x:c r="D8" s="60" t="n">
        <x:f>ABS('Gelir Tablosu'!D10)/'Gelir Tablosu'!D6</x:f>
        <x:v>0.04767277499634672</x:v>
      </x:c>
      <x:c r="E8" s="60" t="n">
        <x:f>ABS('Gelir Tablosu'!E10)/'Gelir Tablosu'!E6</x:f>
        <x:v>0.03787099286844371</x:v>
      </x:c>
      <x:c r="F8" s="61" t="n">
        <x:f>E8</x:f>
        <x:v>0.03787099286844371</x:v>
      </x:c>
      <x:c r="G8" s="61" t="n">
        <x:f>F8</x:f>
        <x:v>0.03787099286844371</x:v>
      </x:c>
      <x:c r="H8" s="61" t="n">
        <x:f>G8</x:f>
        <x:v>0.03787099286844371</x:v>
      </x:c>
      <x:c r="I8" s="61" t="n">
        <x:f>H8</x:f>
        <x:v>0.03787099286844371</x:v>
      </x:c>
      <x:c r="J8" s="61" t="n">
        <x:f>I8</x:f>
        <x:v>0.03787099286844371</x:v>
      </x:c>
      <x:c r="K8" s="61" t="n">
        <x:f>J8</x:f>
        <x:v>0.03787099286844371</x:v>
      </x:c>
    </x:row>
    <x:row r="9">
      <x:c r="A9" s="44" t="str">
        <x:v>FAVÖK Marjı</x:v>
      </x:c>
      <x:c r="B9" s="60" t="n">
        <x:f>'Gelir Tablosu'!B13/'Gelir Tablosu'!B6</x:f>
        <x:v>0.1253814999993875</x:v>
      </x:c>
      <x:c r="C9" s="60" t="n">
        <x:f>'Gelir Tablosu'!C13/'Gelir Tablosu'!C6</x:f>
        <x:v>0.06356266296285615</x:v>
      </x:c>
      <x:c r="D9" s="60" t="n">
        <x:f>'Gelir Tablosu'!D13/'Gelir Tablosu'!D6</x:f>
        <x:v>0.0732785545001293</x:v>
      </x:c>
      <x:c r="E9" s="60" t="n">
        <x:f>'Gelir Tablosu'!E13/'Gelir Tablosu'!E6</x:f>
        <x:v>0.10618077415130066</x:v>
      </x:c>
      <x:c r="F9" s="61" t="n">
        <x:f>E9</x:f>
        <x:v>0.10618077415130066</x:v>
      </x:c>
      <x:c r="G9" s="61" t="n">
        <x:f>F9</x:f>
        <x:v>0.10618077415130066</x:v>
      </x:c>
      <x:c r="H9" s="61" t="n">
        <x:f>G9</x:f>
        <x:v>0.10618077415130066</x:v>
      </x:c>
      <x:c r="I9" s="61" t="n">
        <x:f>H9</x:f>
        <x:v>0.10618077415130066</x:v>
      </x:c>
      <x:c r="J9" s="61" t="n">
        <x:f>I9</x:f>
        <x:v>0.10618077415130066</x:v>
      </x:c>
      <x:c r="K9" s="61" t="n">
        <x:f>J9</x:f>
        <x:v>0.10618077415130066</x:v>
      </x:c>
    </x:row>
    <x:row r="10">
      <x:c r="A10" s="44" t="str">
        <x:v>Amortisman / Hasılat</x:v>
      </x:c>
      <x:c r="B10" s="60" t="n">
        <x:f>ABS('Gelir Tablosu'!B12)/'Gelir Tablosu'!B6</x:f>
        <x:v>0.018135008048544152</x:v>
      </x:c>
      <x:c r="C10" s="60" t="n">
        <x:f>ABS('Gelir Tablosu'!C12)/'Gelir Tablosu'!C6</x:f>
        <x:v>0.019497261839261634</x:v>
      </x:c>
      <x:c r="D10" s="60" t="n">
        <x:f>ABS('Gelir Tablosu'!D12)/'Gelir Tablosu'!D6</x:f>
        <x:v>0.02312309054294199</x:v>
      </x:c>
      <x:c r="E10" s="60" t="n">
        <x:f>ABS('Gelir Tablosu'!E12)/'Gelir Tablosu'!E6</x:f>
        <x:v>0.017124781723193816</x:v>
      </x:c>
      <x:c r="F10" s="61" t="n">
        <x:f>E10</x:f>
        <x:v>0.017124781723193816</x:v>
      </x:c>
      <x:c r="G10" s="61" t="n">
        <x:f>F10</x:f>
        <x:v>0.017124781723193816</x:v>
      </x:c>
      <x:c r="H10" s="61" t="n">
        <x:f>G10</x:f>
        <x:v>0.017124781723193816</x:v>
      </x:c>
      <x:c r="I10" s="61" t="n">
        <x:f>H10</x:f>
        <x:v>0.017124781723193816</x:v>
      </x:c>
      <x:c r="J10" s="61" t="n">
        <x:f>I10</x:f>
        <x:v>0.017124781723193816</x:v>
      </x:c>
      <x:c r="K10" s="61" t="n">
        <x:f>J10</x:f>
        <x:v>0.017124781723193816</x:v>
      </x:c>
    </x:row>
    <x:row r="11">
      <x:c r="A11" s="44" t="str">
        <x:v>Finansman Gideri / Hasılat</x:v>
      </x:c>
      <x:c r="B11" s="60" t="n">
        <x:f>ABS('Gelir Tablosu'!B17)/'Gelir Tablosu'!B6</x:f>
        <x:v>0.024676506259047448</x:v>
      </x:c>
      <x:c r="C11" s="60" t="n">
        <x:f>ABS('Gelir Tablosu'!C17)/'Gelir Tablosu'!C6</x:f>
        <x:v>0.006652306111840676</x:v>
      </x:c>
      <x:c r="D11" s="60" t="n">
        <x:f>ABS('Gelir Tablosu'!D17)/'Gelir Tablosu'!D6</x:f>
        <x:v>0.001003459803441856</x:v>
      </x:c>
      <x:c r="E11" s="60" t="n">
        <x:f>ABS('Gelir Tablosu'!E17)/'Gelir Tablosu'!E6</x:f>
        <x:v>0.002776198380534977</x:v>
      </x:c>
      <x:c r="F11" s="61" t="n">
        <x:f>E11</x:f>
        <x:v>0.002776198380534977</x:v>
      </x:c>
      <x:c r="G11" s="61" t="n">
        <x:f>F11</x:f>
        <x:v>0.002776198380534977</x:v>
      </x:c>
      <x:c r="H11" s="61" t="n">
        <x:f>G11</x:f>
        <x:v>0.002776198380534977</x:v>
      </x:c>
      <x:c r="I11" s="61" t="n">
        <x:f>H11</x:f>
        <x:v>0.002776198380534977</x:v>
      </x:c>
      <x:c r="J11" s="61" t="n">
        <x:f>I11</x:f>
        <x:v>0.002776198380534977</x:v>
      </x:c>
      <x:c r="K11" s="61" t="n">
        <x:f>J11</x:f>
        <x:v>0.002776198380534977</x:v>
      </x:c>
    </x:row>
    <x:row r="12">
      <x:c r="A12" s="44" t="str">
        <x:v>Efektif Vergi Oranı</x:v>
      </x:c>
      <x:c r="B12" s="60" t="n">
        <x:f>ABS('Gelir Tablosu'!B20)/'Gelir Tablosu'!B19</x:f>
        <x:v>0.06828385600794792</x:v>
      </x:c>
      <x:c r="C12" s="60" t="n">
        <x:f>ABS('Gelir Tablosu'!C20)/'Gelir Tablosu'!C19</x:f>
        <x:v>0.40043037275451665</x:v>
      </x:c>
      <x:c r="D12" s="60" t="n">
        <x:f>ABS('Gelir Tablosu'!D20)/'Gelir Tablosu'!D19</x:f>
        <x:v>0.3174881368480441</x:v>
      </x:c>
      <x:c r="E12" s="60" t="n">
        <x:f>ABS('Gelir Tablosu'!E20)/'Gelir Tablosu'!E19</x:f>
        <x:v>0.17626325744147764</x:v>
      </x:c>
      <x:c r="F12" s="61" t="n">
        <x:f>E12</x:f>
        <x:v>0.17626325744147764</x:v>
      </x:c>
      <x:c r="G12" s="61" t="n">
        <x:f>F12</x:f>
        <x:v>0.17626325744147764</x:v>
      </x:c>
      <x:c r="H12" s="61" t="n">
        <x:f>G12</x:f>
        <x:v>0.17626325744147764</x:v>
      </x:c>
      <x:c r="I12" s="61" t="n">
        <x:f>H12</x:f>
        <x:v>0.17626325744147764</x:v>
      </x:c>
      <x:c r="J12" s="61" t="n">
        <x:f>I12</x:f>
        <x:v>0.17626325744147764</x:v>
      </x:c>
      <x:c r="K12" s="61" t="n">
        <x:f>J12</x:f>
        <x:v>0.17626325744147764</x:v>
      </x:c>
    </x:row>
    <x:row r="13">
      <x:c r="A13" s="44" t="str">
        <x:v>Alacak Tahsil Süresi (gün)</x:v>
      </x:c>
      <x:c r="B13" s="60" t="n">
        <x:f>'Bilanço'!B8/'Gelir Tablosu'!B6*365</x:f>
        <x:v>34.77601112928003</x:v>
      </x:c>
      <x:c r="C13" s="60" t="n">
        <x:f>'Bilanço'!C8/'Gelir Tablosu'!C6*365</x:f>
        <x:v>27.992718942578232</x:v>
      </x:c>
      <x:c r="D13" s="60" t="n">
        <x:f>'Bilanço'!D8/'Gelir Tablosu'!D6*365</x:f>
        <x:v>34.6821507361159</x:v>
      </x:c>
      <x:c r="E13" s="60" t="n">
        <x:f>'Bilanço'!E8/'Gelir Tablosu'!E6*182</x:f>
        <x:v>38.05936531652104</x:v>
      </x:c>
      <x:c r="F13" s="61" t="n">
        <x:f>E13</x:f>
        <x:v>38.05936531652104</x:v>
      </x:c>
      <x:c r="G13" s="61" t="n">
        <x:f>F13</x:f>
        <x:v>38.05936531652104</x:v>
      </x:c>
      <x:c r="H13" s="61" t="n">
        <x:f>G13</x:f>
        <x:v>38.05936531652104</x:v>
      </x:c>
      <x:c r="I13" s="61" t="n">
        <x:f>H13</x:f>
        <x:v>38.05936531652104</x:v>
      </x:c>
      <x:c r="J13" s="61" t="n">
        <x:f>I13</x:f>
        <x:v>38.05936531652104</x:v>
      </x:c>
      <x:c r="K13" s="61" t="n">
        <x:f>J13</x:f>
        <x:v>38.05936531652104</x:v>
      </x:c>
    </x:row>
    <x:row r="14">
      <x:c r="A14" s="44" t="str">
        <x:v>Stok Süresi (gün)</x:v>
      </x:c>
      <x:c r="B14" s="60" t="n">
        <x:f>'Bilanço'!B9/ABS('Gelir Tablosu'!B7)*365</x:f>
        <x:v>16.559873498386004</x:v>
      </x:c>
      <x:c r="C14" s="60" t="n">
        <x:f>'Bilanço'!C9/ABS('Gelir Tablosu'!C7)*365</x:f>
        <x:v>13.447524029478048</x:v>
      </x:c>
      <x:c r="D14" s="60" t="n">
        <x:f>'Bilanço'!D9/ABS('Gelir Tablosu'!D7)*365</x:f>
        <x:v>13.399125324607706</x:v>
      </x:c>
      <x:c r="E14" s="60" t="n">
        <x:f>'Bilanço'!E9/ABS('Gelir Tablosu'!E7)*182</x:f>
        <x:v>13.587096160810027</x:v>
      </x:c>
      <x:c r="F14" s="61" t="n">
        <x:f>E14</x:f>
        <x:v>13.587096160810027</x:v>
      </x:c>
      <x:c r="G14" s="61" t="n">
        <x:f>F14</x:f>
        <x:v>13.587096160810027</x:v>
      </x:c>
      <x:c r="H14" s="61" t="n">
        <x:f>G14</x:f>
        <x:v>13.587096160810027</x:v>
      </x:c>
      <x:c r="I14" s="61" t="n">
        <x:f>H14</x:f>
        <x:v>13.587096160810027</x:v>
      </x:c>
      <x:c r="J14" s="61" t="n">
        <x:f>I14</x:f>
        <x:v>13.587096160810027</x:v>
      </x:c>
      <x:c r="K14" s="61" t="n">
        <x:f>J14</x:f>
        <x:v>13.587096160810027</x:v>
      </x:c>
    </x:row>
    <x:row r="15">
      <x:c r="A15" s="44" t="str">
        <x:v>Borç Ödeme Süresi (gün)</x:v>
      </x:c>
      <x:c r="B15" s="60" t="n">
        <x:f>'Bilanço'!B19/ABS('Gelir Tablosu'!B7)*365</x:f>
        <x:v>64.64137807418223</x:v>
      </x:c>
      <x:c r="C15" s="60" t="n">
        <x:f>'Bilanço'!C19/ABS('Gelir Tablosu'!C7)*365</x:f>
        <x:v>48.38124517208933</x:v>
      </x:c>
      <x:c r="D15" s="60" t="n">
        <x:f>'Bilanço'!D19/ABS('Gelir Tablosu'!D7)*365</x:f>
        <x:v>56.32461085176525</x:v>
      </x:c>
      <x:c r="E15" s="60" t="n">
        <x:f>'Bilanço'!E19/ABS('Gelir Tablosu'!E7)*182</x:f>
        <x:v>70.49938205239233</x:v>
      </x:c>
      <x:c r="F15" s="61" t="n">
        <x:f>E15</x:f>
        <x:v>70.49938205239233</x:v>
      </x:c>
      <x:c r="G15" s="61" t="n">
        <x:f>F15</x:f>
        <x:v>70.49938205239233</x:v>
      </x:c>
      <x:c r="H15" s="61" t="n">
        <x:f>G15</x:f>
        <x:v>70.49938205239233</x:v>
      </x:c>
      <x:c r="I15" s="61" t="n">
        <x:f>H15</x:f>
        <x:v>70.49938205239233</x:v>
      </x:c>
      <x:c r="J15" s="61" t="n">
        <x:f>I15</x:f>
        <x:v>70.49938205239233</x:v>
      </x:c>
      <x:c r="K15" s="61" t="n">
        <x:f>J15</x:f>
        <x:v>70.49938205239233</x:v>
      </x:c>
    </x:row>
    <x:row r="16">
      <x:c r="A16" s="44" t="str">
        <x:v>CapEx / Hasılat</x:v>
      </x:c>
      <x:c r="B16" s="60" t="n">
        <x:v>0.035</x:v>
      </x:c>
      <x:c r="C16" s="60" t="n">
        <x:v>0.039</x:v>
      </x:c>
      <x:c r="D16" s="60" t="n">
        <x:v>0.046</x:v>
      </x:c>
      <x:c r="E16" s="60" t="n">
        <x:v>0.043</x:v>
      </x:c>
      <x:c r="F16" s="61" t="n">
        <x:v>0.043</x:v>
      </x:c>
      <x:c r="G16" s="61" t="n">
        <x:v>0.043</x:v>
      </x:c>
      <x:c r="H16" s="61" t="n">
        <x:v>0.046</x:v>
      </x:c>
      <x:c r="I16" s="61" t="n">
        <x:v>0.046</x:v>
      </x:c>
      <x:c r="J16" s="61" t="n">
        <x:v>0.046</x:v>
      </x:c>
      <x:c r="K16" s="61" t="n">
        <x:v>0.046</x:v>
      </x:c>
    </x:row>
    <x:row r="17">
      <x:c r="A17" s="44" t="str">
        <x:v>Temettü Dağıtım Oranı</x:v>
      </x:c>
      <x:c r="B17" s="60" t="n">
        <x:v>0.626</x:v>
      </x:c>
      <x:c r="C17" s="60" t="n">
        <x:v>0.972</x:v>
      </x:c>
      <x:c r="D17" s="60" t="n">
        <x:v>1.077</x:v>
      </x:c>
      <x:c r="E17" s="60" t="n">
        <x:v>0.244</x:v>
      </x:c>
      <x:c r="F17" s="61" t="n">
        <x:v>0.244</x:v>
      </x:c>
      <x:c r="G17" s="61" t="n">
        <x:v>0.244</x:v>
      </x:c>
      <x:c r="H17" s="61" t="n">
        <x:v>0.244</x:v>
      </x:c>
      <x:c r="I17" s="61" t="n">
        <x:v>0.244</x:v>
      </x:c>
      <x:c r="J17" s="61" t="n">
        <x:v>0.244</x:v>
      </x:c>
      <x:c r="K17" s="61" t="n">
        <x:v>0.244</x:v>
      </x:c>
    </x:row>
    <x:row r="18">
      <x:c r="A18" s="44" t="str">
        <x:v>WACC</x:v>
      </x:c>
      <x:c r="B18" s="60"/>
      <x:c r="C18" s="60"/>
      <x:c r="D18" s="60"/>
      <x:c r="E18" s="60"/>
      <x:c r="F18" s="61" t="n">
        <x:f>0.18</x:f>
        <x:v>0.18</x:v>
      </x:c>
      <x:c r="G18" s="61" t="n">
        <x:f>0.18</x:f>
        <x:v>0.18</x:v>
      </x:c>
      <x:c r="H18" s="61" t="n">
        <x:f>0.18</x:f>
        <x:v>0.18</x:v>
      </x:c>
      <x:c r="I18" s="61" t="n">
        <x:f>0.18</x:f>
        <x:v>0.18</x:v>
      </x:c>
      <x:c r="J18" s="61" t="n">
        <x:f>0.18</x:f>
        <x:v>0.18</x:v>
      </x:c>
      <x:c r="K18" s="61" t="n">
        <x:f>0.18</x:f>
        <x:v>0.18</x:v>
      </x:c>
    </x:row>
    <x:row r="19">
      <x:c r="A19" s="44" t="str">
        <x:v>Terminal Büyüme</x:v>
      </x:c>
      <x:c r="B19" s="60"/>
      <x:c r="C19" s="60"/>
      <x:c r="D19" s="60"/>
      <x:c r="E19" s="60"/>
      <x:c r="F19" s="61" t="n">
        <x:f>0.04</x:f>
        <x:v>0.04</x:v>
      </x:c>
      <x:c r="G19" s="61" t="n">
        <x:f>0.04</x:f>
        <x:v>0.04</x:v>
      </x:c>
      <x:c r="H19" s="61" t="n">
        <x:f>0.04</x:f>
        <x:v>0.04</x:v>
      </x:c>
      <x:c r="I19" s="61" t="n">
        <x:f>0.04</x:f>
        <x:v>0.04</x:v>
      </x:c>
      <x:c r="J19" s="61" t="n">
        <x:f>0.04</x:f>
        <x:v>0.04</x:v>
      </x:c>
      <x:c r="K19" s="61" t="n">
        <x:f>0.04</x:f>
        <x:v>0.04</x:v>
      </x:c>
    </x:row>
    <x:row r="20">
      <x:c r="A20" s="49" t="str">
        <x:v>H2 / H1 Çarpanı</x:v>
      </x:c>
      <x:c r="B20" s="62"/>
      <x:c r="C20" s="62"/>
      <x:c r="D20" s="62"/>
      <x:c r="E20" s="62" t="n">
        <x:f>1</x:f>
        <x:v>1</x:v>
      </x:c>
      <x:c r="F20" s="63" t="n">
        <x:f>1</x:f>
        <x:v>1</x:v>
      </x:c>
      <x:c r="G20" s="63"/>
      <x:c r="H20" s="63"/>
      <x:c r="I20" s="63"/>
      <x:c r="J20" s="63"/>
      <x:c r="K20" s="63"/>
    </x:row>
  </x:sheetData>
  <x:mergeCells>
    <x:mergeCell ref="A1:K1"/>
    <x:mergeCell ref="A2:K2"/>
  </x:mergeCells>
  <x:pageMargins left="0.7" right="0.7" top="0.75" bottom="0.75" header="0.3" footer="0.3"/>
  <x:legacyDrawing xmlns:r="http://schemas.openxmlformats.org/officeDocument/2006/relationships" r:id="Re467e2f3c0d342e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5" t="str">
        <x:v>OPERASYONEL VARSAYIMLAR</x:v>
      </x:c>
    </x:row>
    <x:row r="2">
      <x:c r="A2" s="26" t="str">
        <x:v>Tüpraş'a özel rafineri sürücüleri; değerler kullanıcı varsayımıdır</x:v>
      </x:c>
    </x:row>
    <x:row r="4">
      <x:c r="A4" s="36" t="str">
        <x:v>Kalem</x:v>
      </x:c>
      <x:c r="B4" s="34" t="str">
        <x:v>2023 Gerçekleşen</x:v>
      </x:c>
      <x:c r="C4" s="34" t="str">
        <x:v>2024 Gerçekleşen</x:v>
      </x:c>
      <x:c r="D4" s="34" t="str">
        <x:v>2025 Gerçekleşen</x:v>
      </x:c>
      <x:c r="E4" s="34" t="str">
        <x:v>2026 İlk 6 Ay Gerçekleşen</x:v>
      </x:c>
      <x:c r="F4" s="34" t="str">
        <x:v>2026 İkinci 6 Ay Tahmin</x:v>
      </x:c>
      <x:c r="G4" s="34" t="str">
        <x:v>2026 Yıl Sonu Tahmin</x:v>
      </x:c>
      <x:c r="H4" s="34" t="str">
        <x:v>2027 Tahmin</x:v>
      </x:c>
      <x:c r="I4" s="34" t="str">
        <x:v>2028 Tahmin</x:v>
      </x:c>
      <x:c r="J4" s="34" t="str">
        <x:v>2029 Tahmin</x:v>
      </x:c>
      <x:c r="K4" s="35" t="str">
        <x:v>2030 Tahmin</x:v>
      </x:c>
    </x:row>
    <x:row r="5">
      <x:c r="A5" s="41" t="str">
        <x:v>Brent Petrol ($/varil)</x:v>
      </x:c>
      <x:c r="B5" s="59" t="n">
        <x:v>82</x:v>
      </x:c>
      <x:c r="C5" s="59" t="n">
        <x:v>81</x:v>
      </x:c>
      <x:c r="D5" s="59" t="n">
        <x:v>79</x:v>
      </x:c>
      <x:c r="E5" s="59" t="n">
        <x:v>72</x:v>
      </x:c>
      <x:c r="F5" s="59" t="n">
        <x:v>73</x:v>
      </x:c>
      <x:c r="G5" s="59" t="n">
        <x:v>72.5</x:v>
      </x:c>
      <x:c r="H5" s="59" t="n">
        <x:v>73</x:v>
      </x:c>
      <x:c r="I5" s="59" t="n">
        <x:v>74</x:v>
      </x:c>
      <x:c r="J5" s="59" t="n">
        <x:v>75</x:v>
      </x:c>
      <x:c r="K5" s="59" t="n">
        <x:v>76</x:v>
      </x:c>
    </x:row>
    <x:row r="6">
      <x:c r="A6" s="44" t="str">
        <x:v>USD/TL Ortalama</x:v>
      </x:c>
      <x:c r="B6" s="61" t="n">
        <x:v>23.7</x:v>
      </x:c>
      <x:c r="C6" s="61" t="n">
        <x:v>32.8</x:v>
      </x:c>
      <x:c r="D6" s="61" t="n">
        <x:v>39</x:v>
      </x:c>
      <x:c r="E6" s="61" t="n">
        <x:v>40.5</x:v>
      </x:c>
      <x:c r="F6" s="61" t="n">
        <x:v>42</x:v>
      </x:c>
      <x:c r="G6" s="61" t="n">
        <x:v>41.3</x:v>
      </x:c>
      <x:c r="H6" s="61" t="n">
        <x:v>45</x:v>
      </x:c>
      <x:c r="I6" s="61" t="n">
        <x:v>48.5</x:v>
      </x:c>
      <x:c r="J6" s="61" t="n">
        <x:v>52</x:v>
      </x:c>
      <x:c r="K6" s="61" t="n">
        <x:v>55</x:v>
      </x:c>
    </x:row>
    <x:row r="7">
      <x:c r="A7" s="44" t="str">
        <x:v>Kapasite Kullanım Oranı</x:v>
      </x:c>
      <x:c r="B7" s="61" t="n">
        <x:v>0.83</x:v>
      </x:c>
      <x:c r="C7" s="61" t="n">
        <x:v>0.86</x:v>
      </x:c>
      <x:c r="D7" s="61" t="n">
        <x:v>0.85</x:v>
      </x:c>
      <x:c r="E7" s="61" t="n">
        <x:v>0.88</x:v>
      </x:c>
      <x:c r="F7" s="61" t="n">
        <x:v>0.88</x:v>
      </x:c>
      <x:c r="G7" s="61" t="n">
        <x:v>0.88</x:v>
      </x:c>
      <x:c r="H7" s="61" t="n">
        <x:v>0.89</x:v>
      </x:c>
      <x:c r="I7" s="61" t="n">
        <x:v>0.9</x:v>
      </x:c>
      <x:c r="J7" s="61" t="n">
        <x:v>0.9</x:v>
      </x:c>
      <x:c r="K7" s="61" t="n">
        <x:v>0.91</x:v>
      </x:c>
    </x:row>
    <x:row r="8">
      <x:c r="A8" s="44" t="str">
        <x:v>Rafineri Marjı ($/ton)</x:v>
      </x:c>
      <x:c r="B8" s="61" t="n">
        <x:v>10.8</x:v>
      </x:c>
      <x:c r="C8" s="61" t="n">
        <x:v>8.4</x:v>
      </x:c>
      <x:c r="D8" s="61" t="n">
        <x:v>9.1</x:v>
      </x:c>
      <x:c r="E8" s="61" t="n">
        <x:v>11</x:v>
      </x:c>
      <x:c r="F8" s="61" t="n">
        <x:v>10.5</x:v>
      </x:c>
      <x:c r="G8" s="61" t="n">
        <x:v>10.8</x:v>
      </x:c>
      <x:c r="H8" s="61" t="n">
        <x:v>10.9</x:v>
      </x:c>
      <x:c r="I8" s="61" t="n">
        <x:v>11.1</x:v>
      </x:c>
      <x:c r="J8" s="61" t="n">
        <x:v>11.3</x:v>
      </x:c>
      <x:c r="K8" s="61" t="n">
        <x:v>11.5</x:v>
      </x:c>
    </x:row>
    <x:row r="9">
      <x:c r="A9" s="44" t="str">
        <x:v>Satış Hacmi (mn ton)</x:v>
      </x:c>
      <x:c r="B9" s="61" t="n">
        <x:v>30.1</x:v>
      </x:c>
      <x:c r="C9" s="61" t="n">
        <x:v>31.2</x:v>
      </x:c>
      <x:c r="D9" s="61" t="n">
        <x:v>30.5</x:v>
      </x:c>
      <x:c r="E9" s="61" t="n">
        <x:v>15.8</x:v>
      </x:c>
      <x:c r="F9" s="61" t="n">
        <x:v>16</x:v>
      </x:c>
      <x:c r="G9" s="61" t="n">
        <x:v>31.8</x:v>
      </x:c>
      <x:c r="H9" s="61" t="n">
        <x:v>32.3</x:v>
      </x:c>
      <x:c r="I9" s="61" t="n">
        <x:v>32.8</x:v>
      </x:c>
      <x:c r="J9" s="61" t="n">
        <x:v>33.2</x:v>
      </x:c>
      <x:c r="K9" s="61" t="n">
        <x:v>33.6</x:v>
      </x:c>
    </x:row>
    <x:row r="10">
      <x:c r="A10" s="44" t="str">
        <x:v>Üretim Hacmi (mn ton)</x:v>
      </x:c>
      <x:c r="B10" s="61" t="n">
        <x:v>28.5</x:v>
      </x:c>
      <x:c r="C10" s="61" t="n">
        <x:v>29.6</x:v>
      </x:c>
      <x:c r="D10" s="61" t="n">
        <x:v>28.9</x:v>
      </x:c>
      <x:c r="E10" s="61" t="n">
        <x:v>14.9</x:v>
      </x:c>
      <x:c r="F10" s="61" t="n">
        <x:v>15</x:v>
      </x:c>
      <x:c r="G10" s="61" t="n">
        <x:v>29.9</x:v>
      </x:c>
      <x:c r="H10" s="61" t="n">
        <x:v>30.5</x:v>
      </x:c>
      <x:c r="I10" s="61" t="n">
        <x:v>31</x:v>
      </x:c>
      <x:c r="J10" s="61" t="n">
        <x:v>31.4</x:v>
      </x:c>
      <x:c r="K10" s="61" t="n">
        <x:v>31.8</x:v>
      </x:c>
    </x:row>
    <x:row r="11">
      <x:c r="A11" s="49" t="str">
        <x:v>Not</x:v>
      </x:c>
      <x:c r="B11" s="62" t="str">
        <x:v>Kaynak/rehber eksikse varsayım</x:v>
      </x:c>
      <x:c r="C11" s="62" t="str">
        <x:v>Kaynak/rehber eksikse varsayım</x:v>
      </x:c>
      <x:c r="D11" s="62" t="str">
        <x:v>Kaynak/rehber eksikse varsayım</x:v>
      </x:c>
      <x:c r="E11" s="62" t="str">
        <x:v>H1 gerçekleşen</x:v>
      </x:c>
      <x:c r="F11" s="62" t="str">
        <x:v>H2 tahmin</x:v>
      </x:c>
      <x:c r="G11" s="62" t="str">
        <x:v>H1+H2</x:v>
      </x:c>
      <x:c r="H11" s="62" t="str">
        <x:v>Tahmin</x:v>
      </x:c>
      <x:c r="I11" s="62" t="str">
        <x:v>Tahmin</x:v>
      </x:c>
      <x:c r="J11" s="62" t="str">
        <x:v>Tahmin</x:v>
      </x:c>
      <x:c r="K11" s="62" t="str">
        <x:v>Tahmin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5" t="str">
        <x:v>GELİR TABLOSU</x:v>
      </x:c>
    </x:row>
    <x:row r="2">
      <x:c r="A2" s="26" t="str">
        <x:v>2026 H1A, H2E ve FYE ayrımı eklendi</x:v>
      </x:c>
    </x:row>
    <x:row r="4">
      <x:c r="A4" s="36" t="str">
        <x:v>Kalem</x:v>
      </x:c>
      <x:c r="B4" s="34" t="str">
        <x:v>2023 Gerçekleşen</x:v>
      </x:c>
      <x:c r="C4" s="34" t="str">
        <x:v>2024 Gerçekleşen</x:v>
      </x:c>
      <x:c r="D4" s="34" t="str">
        <x:v>2025 Gerçekleşen</x:v>
      </x:c>
      <x:c r="E4" s="34" t="str">
        <x:v>2026 İlk 6 Ay Gerçekleşen</x:v>
      </x:c>
      <x:c r="F4" s="34" t="str">
        <x:v>2026 İkinci 6 Ay Tahmin</x:v>
      </x:c>
      <x:c r="G4" s="34" t="str">
        <x:v>2026 Yıl Sonu Tahmin</x:v>
      </x:c>
      <x:c r="H4" s="34" t="str">
        <x:v>2027 Tahmin</x:v>
      </x:c>
      <x:c r="I4" s="34" t="str">
        <x:v>2028 Tahmin</x:v>
      </x:c>
      <x:c r="J4" s="34" t="str">
        <x:v>2029 Tahmin</x:v>
      </x:c>
      <x:c r="K4" s="35" t="str">
        <x:v>2030 Tahmin</x:v>
      </x:c>
    </x:row>
    <x:row r="5">
      <x:c r="A5" s="69" t="str">
        <x:v>Gelir Tablosu</x:v>
      </x:c>
      <x:c r="B5" s="81"/>
      <x:c r="C5" s="81"/>
      <x:c r="D5" s="81"/>
      <x:c r="E5" s="81"/>
      <x:c r="F5" s="81"/>
      <x:c r="G5" s="81"/>
      <x:c r="H5" s="81"/>
      <x:c r="I5" s="81"/>
      <x:c r="J5" s="81"/>
      <x:c r="K5" s="82"/>
    </x:row>
    <x:row r="6">
      <x:c r="A6" s="72" t="str">
        <x:v>Hasılat</x:v>
      </x:c>
      <x:c r="B6" s="101" t="n">
        <x:v>686528507</x:v>
      </x:c>
      <x:c r="C6" s="101" t="n">
        <x:v>810385588</x:v>
      </x:c>
      <x:c r="D6" s="101" t="n">
        <x:v>830356131</x:v>
      </x:c>
      <x:c r="E6" s="101" t="n">
        <x:v>662788010</x:v>
      </x:c>
      <x:c r="F6" s="101" t="n">
        <x:f>E6*'Varsayımlar'!E20</x:f>
        <x:v>662788010</x:v>
      </x:c>
      <x:c r="G6" s="101" t="n">
        <x:f>E6+F6</x:f>
        <x:v>1325576020</x:v>
      </x:c>
      <x:c r="H6" s="101" t="n">
        <x:f>G6*(1+'Varsayımlar'!H5)</x:f>
        <x:v>1431622101.6000001</x:v>
      </x:c>
      <x:c r="I6" s="101" t="n">
        <x:f>H6*(1+'Varsayımlar'!I5)</x:f>
        <x:v>1517519427.6960003</x:v>
      </x:c>
      <x:c r="J6" s="101" t="n">
        <x:f>I6*(1+'Varsayımlar'!J5)</x:f>
        <x:v>1593395399.0808005</x:v>
      </x:c>
      <x:c r="K6" s="102" t="n">
        <x:f>J6*(1+'Varsayımlar'!K5)</x:f>
        <x:v>1657131215.0440326</x:v>
      </x:c>
    </x:row>
    <x:row r="7">
      <x:c r="A7" s="72" t="str">
        <x:v>Satışların Maliyeti</x:v>
      </x:c>
      <x:c r="B7" s="101" t="n">
        <x:v>-576796119</x:v>
      </x:c>
      <x:c r="C7" s="101" t="n">
        <x:v>-742355284</x:v>
      </x:c>
      <x:c r="D7" s="101" t="n">
        <x:v>-749123853</x:v>
      </x:c>
      <x:c r="E7" s="101" t="n">
        <x:v>-578662326</x:v>
      </x:c>
      <x:c r="F7" s="101" t="n">
        <x:f>-F6*'Varsayımlar'!F6</x:f>
        <x:v>-578662326</x:v>
      </x:c>
      <x:c r="G7" s="101" t="n">
        <x:f>E7+F7</x:f>
        <x:v>-1157324652</x:v>
      </x:c>
      <x:c r="H7" s="101" t="n">
        <x:f>-H6*'Varsayımlar'!H6</x:f>
        <x:v>-1249910624.16</x:v>
      </x:c>
      <x:c r="I7" s="101" t="n">
        <x:f>-I6*'Varsayımlar'!I6</x:f>
        <x:v>-1324905261.6096003</x:v>
      </x:c>
      <x:c r="J7" s="101" t="n">
        <x:f>-J6*'Varsayımlar'!J6</x:f>
        <x:v>-1391150524.6900804</x:v>
      </x:c>
      <x:c r="K7" s="102" t="n">
        <x:f>-K6*'Varsayımlar'!K6</x:f>
        <x:v>-1446796545.6776836</x:v>
      </x:c>
    </x:row>
    <x:row r="8">
      <x:c r="A8" s="91" t="str">
        <x:v>Brüt Kâr</x:v>
      </x:c>
      <x:c r="B8" s="92" t="n">
        <x:v>109732388</x:v>
      </x:c>
      <x:c r="C8" s="92" t="n">
        <x:v>68030304</x:v>
      </x:c>
      <x:c r="D8" s="92" t="n">
        <x:v>81232278</x:v>
      </x:c>
      <x:c r="E8" s="92" t="n">
        <x:v>84125684</x:v>
      </x:c>
      <x:c r="F8" s="92" t="n">
        <x:f>F6+F7</x:f>
        <x:v>84125684</x:v>
      </x:c>
      <x:c r="G8" s="92" t="n">
        <x:f>G6+G7</x:f>
        <x:v>168251368</x:v>
      </x:c>
      <x:c r="H8" s="92" t="n">
        <x:f>H6+H7</x:f>
        <x:v>181711477.44000006</x:v>
      </x:c>
      <x:c r="I8" s="92" t="n">
        <x:f>I6+I7</x:f>
        <x:v>192614166.08640003</x:v>
      </x:c>
      <x:c r="J8" s="92" t="n">
        <x:f>J6+J7</x:f>
        <x:v>202244874.39072013</x:v>
      </x:c>
      <x:c r="K8" s="92" t="n">
        <x:f>K6+K7</x:f>
        <x:v>210334669.36634898</x:v>
      </x:c>
    </x:row>
    <x:row r="9">
      <x:c r="A9" s="72" t="str">
        <x:v>Brüt Kâr Marjı</x:v>
      </x:c>
      <x:c r="B9" s="60" t="n">
        <x:v>0.159837330610373</x:v>
      </x:c>
      <x:c r="C9" s="60" t="n">
        <x:v>0.083952993011924</x:v>
      </x:c>
      <x:c r="D9" s="60" t="n">
        <x:v>0.097830105275629</x:v>
      </x:c>
      <x:c r="E9" s="60" t="n">
        <x:v>0.126928469683853</x:v>
      </x:c>
      <x:c r="F9" s="60" t="n">
        <x:f>F8/F6</x:f>
        <x:v>0.12692698529655055</x:v>
      </x:c>
      <x:c r="G9" s="60" t="n">
        <x:f>G8/G6</x:f>
        <x:v>0.12692698529655055</x:v>
      </x:c>
      <x:c r="H9" s="60" t="n">
        <x:f>H8/H6</x:f>
        <x:v>0.12692698529655058</x:v>
      </x:c>
      <x:c r="I9" s="60" t="n">
        <x:f>I8/I6</x:f>
        <x:v>0.12692698529655055</x:v>
      </x:c>
      <x:c r="J9" s="60" t="n">
        <x:f>J8/J6</x:f>
        <x:v>0.12692698529655058</x:v>
      </x:c>
      <x:c r="K9" s="83" t="n">
        <x:f>K8/K6</x:f>
        <x:v>0.1269269852965506</x:v>
      </x:c>
    </x:row>
    <x:row r="10">
      <x:c r="A10" s="72" t="str">
        <x:v>Faaliyet Giderleri</x:v>
      </x:c>
      <x:c r="B10" s="60" t="n">
        <x:v>-36104614</x:v>
      </x:c>
      <x:c r="C10" s="60" t="n">
        <x:v>-32320338</x:v>
      </x:c>
      <x:c r="D10" s="60" t="n">
        <x:v>-39585381</x:v>
      </x:c>
      <x:c r="E10" s="60" t="n">
        <x:v>-25100440</x:v>
      </x:c>
      <x:c r="F10" s="60" t="n">
        <x:f>-F6*'Varsayımlar'!F8</x:f>
        <x:v>-25100440</x:v>
      </x:c>
      <x:c r="G10" s="60" t="n">
        <x:f>E10+F10</x:f>
        <x:v>-50200880</x:v>
      </x:c>
      <x:c r="H10" s="60" t="n">
        <x:f>-H6*'Varsayımlar'!H8</x:f>
        <x:v>-54216950.400000006</x:v>
      </x:c>
      <x:c r="I10" s="60" t="n">
        <x:f>-I6*'Varsayımlar'!I8</x:f>
        <x:v>-57469967.42400001</x:v>
      </x:c>
      <x:c r="J10" s="60" t="n">
        <x:f>-J6*'Varsayımlar'!J8</x:f>
        <x:v>-60343465.79520002</x:v>
      </x:c>
      <x:c r="K10" s="83" t="n">
        <x:f>-K6*'Varsayımlar'!K8</x:f>
        <x:v>-62757204.42700802</x:v>
      </x:c>
    </x:row>
    <x:row r="11">
      <x:c r="A11" s="91" t="str">
        <x:v>Esas Faaliyet Kârı (EBIT)</x:v>
      </x:c>
      <x:c r="B11" s="92" t="n">
        <x:v>73627774</x:v>
      </x:c>
      <x:c r="C11" s="92" t="n">
        <x:v>35709966</x:v>
      </x:c>
      <x:c r="D11" s="92" t="n">
        <x:v>41646897</x:v>
      </x:c>
      <x:c r="E11" s="92" t="n">
        <x:v>59025244</x:v>
      </x:c>
      <x:c r="F11" s="92" t="n">
        <x:f>F8+F10</x:f>
        <x:v>59025244</x:v>
      </x:c>
      <x:c r="G11" s="92" t="n">
        <x:f>E11+F11</x:f>
        <x:v>118050488</x:v>
      </x:c>
      <x:c r="H11" s="92" t="n">
        <x:f>H8+H10</x:f>
        <x:v>127494527.04000005</x:v>
      </x:c>
      <x:c r="I11" s="92" t="n">
        <x:f>I8+I10</x:f>
        <x:v>135144198.6624</x:v>
      </x:c>
      <x:c r="J11" s="92" t="n">
        <x:f>J8+J10</x:f>
        <x:v>141901408.5955201</x:v>
      </x:c>
      <x:c r="K11" s="92" t="n">
        <x:f>K8+K10</x:f>
        <x:v>147577464.93934095</x:v>
      </x:c>
    </x:row>
    <x:row r="12">
      <x:c r="A12" s="72" t="str">
        <x:v>Amortisman ve İtfa Giderleri</x:v>
      </x:c>
      <x:c r="B12" s="60" t="n">
        <x:v>-12450200</x:v>
      </x:c>
      <x:c r="C12" s="60" t="n">
        <x:v>-15800300</x:v>
      </x:c>
      <x:c r="D12" s="60" t="n">
        <x:v>-19200400</x:v>
      </x:c>
      <x:c r="E12" s="60" t="n">
        <x:v>-11350100</x:v>
      </x:c>
      <x:c r="F12" s="60" t="n">
        <x:f>-F6*'Varsayımlar'!F10</x:f>
        <x:v>-11350100</x:v>
      </x:c>
      <x:c r="G12" s="60" t="n">
        <x:f>E12+F12</x:f>
        <x:v>-22700200</x:v>
      </x:c>
      <x:c r="H12" s="60" t="n">
        <x:f>-H6*'Varsayımlar'!H10</x:f>
        <x:v>-24516216.000000004</x:v>
      </x:c>
      <x:c r="I12" s="60" t="n">
        <x:f>-I6*'Varsayımlar'!I10</x:f>
        <x:v>-25987188.960000005</x:v>
      </x:c>
      <x:c r="J12" s="60" t="n">
        <x:f>-J6*'Varsayımlar'!J10</x:f>
        <x:v>-27286548.40800001</x:v>
      </x:c>
      <x:c r="K12" s="83" t="n">
        <x:f>-K6*'Varsayımlar'!K10</x:f>
        <x:v>-28378010.34432001</x:v>
      </x:c>
    </x:row>
    <x:row r="13">
      <x:c r="A13" s="91" t="str">
        <x:v>FAVÖK</x:v>
      </x:c>
      <x:c r="B13" s="92" t="n">
        <x:v>86077974</x:v>
      </x:c>
      <x:c r="C13" s="92" t="n">
        <x:v>51510266</x:v>
      </x:c>
      <x:c r="D13" s="92" t="n">
        <x:v>60847297</x:v>
      </x:c>
      <x:c r="E13" s="92" t="n">
        <x:v>70375344</x:v>
      </x:c>
      <x:c r="F13" s="92" t="n">
        <x:f>F11-F12</x:f>
        <x:v>70375344</x:v>
      </x:c>
      <x:c r="G13" s="92" t="n">
        <x:f>G11-G12</x:f>
        <x:v>140750688</x:v>
      </x:c>
      <x:c r="H13" s="92" t="n">
        <x:f>H11-H12</x:f>
        <x:v>152010743.04000005</x:v>
      </x:c>
      <x:c r="I13" s="92" t="n">
        <x:f>I11-I12</x:f>
        <x:v>161131387.62240002</x:v>
      </x:c>
      <x:c r="J13" s="92" t="n">
        <x:f>J11-J12</x:f>
        <x:v>169187957.00352013</x:v>
      </x:c>
      <x:c r="K13" s="92" t="n">
        <x:f>K11-K12</x:f>
        <x:v>175955475.28366095</x:v>
      </x:c>
    </x:row>
    <x:row r="14">
      <x:c r="A14" s="72" t="str">
        <x:v>FAVÖK Marjı</x:v>
      </x:c>
      <x:c r="B14" s="60" t="n">
        <x:v>0.1253815</x:v>
      </x:c>
      <x:c r="C14" s="60" t="n">
        <x:v>0.06356266</x:v>
      </x:c>
      <x:c r="D14" s="60" t="n">
        <x:v>0.07327855</x:v>
      </x:c>
      <x:c r="E14" s="60" t="n">
        <x:v>0.10618077</x:v>
      </x:c>
      <x:c r="F14" s="60" t="n">
        <x:f>F13/F6</x:f>
        <x:v>0.10618077415130066</x:v>
      </x:c>
      <x:c r="G14" s="60" t="n">
        <x:f>G13/G6</x:f>
        <x:v>0.10618077415130066</x:v>
      </x:c>
      <x:c r="H14" s="60" t="n">
        <x:f>H13/H6</x:f>
        <x:v>0.10618077415130069</x:v>
      </x:c>
      <x:c r="I14" s="60" t="n">
        <x:f>I13/I6</x:f>
        <x:v>0.10618077415130064</x:v>
      </x:c>
      <x:c r="J14" s="60" t="n">
        <x:f>J13/J6</x:f>
        <x:v>0.1061807741513007</x:v>
      </x:c>
      <x:c r="K14" s="83" t="n">
        <x:f>K13/K6</x:f>
        <x:v>0.10618077415130071</x:v>
      </x:c>
    </x:row>
    <x:row r="15">
      <x:c r="A15" s="72" t="str">
        <x:v>Diğer Faaliyet Gelir/Giderleri</x:v>
      </x:c>
      <x:c r="B15" s="60" t="n">
        <x:v>1133709</x:v>
      </x:c>
      <x:c r="C15" s="60" t="n">
        <x:v>1426471</x:v>
      </x:c>
      <x:c r="D15" s="60" t="n">
        <x:v>1288596</x:v>
      </x:c>
      <x:c r="E15" s="60" t="n">
        <x:v>661395</x:v>
      </x:c>
      <x:c r="F15" s="60" t="n">
        <x:f>E15*'Varsayımlar'!E20</x:f>
        <x:v>661395</x:v>
      </x:c>
      <x:c r="G15" s="60" t="n">
        <x:f>E15+F15</x:f>
        <x:v>1322790</x:v>
      </x:c>
      <x:c r="H15" s="60" t="n">
        <x:f>G15*(1+'Varsayımlar'!H5)</x:f>
        <x:v>1428613.2000000002</x:v>
      </x:c>
      <x:c r="I15" s="60" t="n">
        <x:f>H15*(1+'Varsayımlar'!I5)</x:f>
        <x:v>1514329.9920000003</x:v>
      </x:c>
      <x:c r="J15" s="60" t="n">
        <x:f>I15*(1+'Varsayımlar'!J5)</x:f>
        <x:v>1590046.4916000003</x:v>
      </x:c>
      <x:c r="K15" s="83" t="n">
        <x:f>J15*(1+'Varsayımlar'!K5)</x:f>
        <x:v>1653648.3512640004</x:v>
      </x:c>
    </x:row>
    <x:row r="16">
      <x:c r="A16" s="91" t="str">
        <x:v>Finansman Geliri/(Gideri) Öncesi Kâr</x:v>
      </x:c>
      <x:c r="B16" s="92" t="n">
        <x:v>74761483</x:v>
      </x:c>
      <x:c r="C16" s="92" t="n">
        <x:v>37136437</x:v>
      </x:c>
      <x:c r="D16" s="92" t="n">
        <x:v>42935493</x:v>
      </x:c>
      <x:c r="E16" s="92" t="n">
        <x:v>59686639</x:v>
      </x:c>
      <x:c r="F16" s="92" t="n">
        <x:f>F11+F15</x:f>
        <x:v>59686639</x:v>
      </x:c>
      <x:c r="G16" s="92" t="n">
        <x:f>G11+G15</x:f>
        <x:v>119373278</x:v>
      </x:c>
      <x:c r="H16" s="92" t="n">
        <x:f>H11+H15</x:f>
        <x:v>128923140.24000005</x:v>
      </x:c>
      <x:c r="I16" s="92" t="n">
        <x:f>I11+I15</x:f>
        <x:v>136658528.65440002</x:v>
      </x:c>
      <x:c r="J16" s="92" t="n">
        <x:f>J11+J15</x:f>
        <x:v>143491455.08712012</x:v>
      </x:c>
      <x:c r="K16" s="92" t="n">
        <x:f>K11+K15</x:f>
        <x:v>149231113.29060495</x:v>
      </x:c>
    </x:row>
    <x:row r="17">
      <x:c r="A17" s="72" t="str">
        <x:v>Net Finansman Geliri/(Gideri)</x:v>
      </x:c>
      <x:c r="B17" s="60" t="n">
        <x:v>-16941125</x:v>
      </x:c>
      <x:c r="C17" s="60" t="n">
        <x:v>-5390933</x:v>
      </x:c>
      <x:c r="D17" s="60" t="n">
        <x:v>833229</x:v>
      </x:c>
      <x:c r="E17" s="60" t="n">
        <x:v>-1840031</x:v>
      </x:c>
      <x:c r="F17" s="60" t="n">
        <x:f>-F6*'Varsayımlar'!F11</x:f>
        <x:v>-1840031</x:v>
      </x:c>
      <x:c r="G17" s="60" t="n">
        <x:f>E17+F17</x:f>
        <x:v>-3680062</x:v>
      </x:c>
      <x:c r="H17" s="60" t="n">
        <x:f>-H6*'Varsayımlar'!H11</x:f>
        <x:v>-3974466.9600000004</x:v>
      </x:c>
      <x:c r="I17" s="60" t="n">
        <x:f>-I6*'Varsayımlar'!I11</x:f>
        <x:v>-4212934.977600001</x:v>
      </x:c>
      <x:c r="J17" s="60" t="n">
        <x:f>-J6*'Varsayımlar'!J11</x:f>
        <x:v>-4423581.726480002</x:v>
      </x:c>
      <x:c r="K17" s="83" t="n">
        <x:f>-K6*'Varsayımlar'!K11</x:f>
        <x:v>-4600524.995539201</x:v>
      </x:c>
    </x:row>
    <x:row r="18">
      <x:c r="A18" s="72" t="str">
        <x:v>Parasal Kazanç/Kayıp ve Diğer</x:v>
      </x:c>
      <x:c r="B18" s="60" t="n">
        <x:v>0</x:v>
      </x:c>
      <x:c r="C18" s="60" t="n">
        <x:v>0</x:v>
      </x:c>
      <x:c r="D18" s="60" t="n">
        <x:v>0</x:v>
      </x:c>
      <x:c r="E18" s="60" t="n">
        <x:v>3183173</x:v>
      </x:c>
      <x:c r="F18" s="60" t="n">
        <x:f>0</x:f>
        <x:v>0</x:v>
      </x:c>
      <x:c r="G18" s="60" t="n">
        <x:f>E18+F18</x:f>
        <x:v>3183173</x:v>
      </x:c>
      <x:c r="H18" s="60" t="n">
        <x:f>0</x:f>
        <x:v>0</x:v>
      </x:c>
      <x:c r="I18" s="60" t="n">
        <x:f>0</x:f>
        <x:v>0</x:v>
      </x:c>
      <x:c r="J18" s="60" t="n">
        <x:f>0</x:f>
        <x:v>0</x:v>
      </x:c>
      <x:c r="K18" s="83" t="n">
        <x:f>0</x:f>
        <x:v>0</x:v>
      </x:c>
    </x:row>
    <x:row r="19">
      <x:c r="A19" s="72" t="str">
        <x:v>Vergi Öncesi Kâr</x:v>
      </x:c>
      <x:c r="B19" s="60" t="n">
        <x:v>57820358</x:v>
      </x:c>
      <x:c r="C19" s="60" t="n">
        <x:v>31745504</x:v>
      </x:c>
      <x:c r="D19" s="60" t="n">
        <x:v>43768722</x:v>
      </x:c>
      <x:c r="E19" s="60" t="n">
        <x:v>61029781</x:v>
      </x:c>
      <x:c r="F19" s="60" t="n">
        <x:f>F16+F17+F18</x:f>
        <x:v>57846608</x:v>
      </x:c>
      <x:c r="G19" s="60" t="n">
        <x:f>G16+G17+G18</x:f>
        <x:v>118876389</x:v>
      </x:c>
      <x:c r="H19" s="60" t="n">
        <x:f>H16+H17+H18</x:f>
        <x:v>124948673.28000006</x:v>
      </x:c>
      <x:c r="I19" s="60" t="n">
        <x:f>I16+I17+I18</x:f>
        <x:v>132445593.67680001</x:v>
      </x:c>
      <x:c r="J19" s="60" t="n">
        <x:f>J16+J17+J18</x:f>
        <x:v>139067873.3606401</x:v>
      </x:c>
      <x:c r="K19" s="83" t="n">
        <x:f>K16+K17+K18</x:f>
        <x:v>144630588.29506576</x:v>
      </x:c>
    </x:row>
    <x:row r="20">
      <x:c r="A20" s="91" t="str">
        <x:v>Vergi</x:v>
      </x:c>
      <x:c r="B20" s="92" t="n">
        <x:v>-3948197</x:v>
      </x:c>
      <x:c r="C20" s="92" t="n">
        <x:v>-12711864</x:v>
      </x:c>
      <x:c r="D20" s="92" t="n">
        <x:v>-13896050</x:v>
      </x:c>
      <x:c r="E20" s="92" t="n">
        <x:v>-10757308</x:v>
      </x:c>
      <x:c r="F20" s="92" t="n">
        <x:f>-F19*'Varsayımlar'!F12</x:f>
        <x:v>-10196231.55802024</x:v>
      </x:c>
      <x:c r="G20" s="92" t="n">
        <x:f>-G19*'Varsayımlar'!G12</x:f>
        <x:v>-20953539.55802024</x:v>
      </x:c>
      <x:c r="H20" s="92" t="n">
        <x:f>-H19*'Varsayımlar'!H12</x:f>
        <x:v>-22023860.16532373</x:v>
      </x:c>
      <x:c r="I20" s="92" t="n">
        <x:f>-I19*'Varsayımlar'!I12</x:f>
        <x:v>-23345291.775243144</x:v>
      </x:c>
      <x:c r="J20" s="92" t="n">
        <x:f>-J19*'Varsayımlar'!J12</x:f>
        <x:v>-24512556.364005316</x:v>
      </x:c>
      <x:c r="K20" s="92" t="n">
        <x:f>-K19*'Varsayımlar'!K12</x:f>
        <x:v>-25493058.618565537</x:v>
      </x:c>
    </x:row>
    <x:row r="21">
      <x:c r="A21" s="72" t="str">
        <x:v>Net Dönem Kârı</x:v>
      </x:c>
      <x:c r="B21" s="60" t="n">
        <x:v>53872161</x:v>
      </x:c>
      <x:c r="C21" s="60" t="n">
        <x:v>19033640</x:v>
      </x:c>
      <x:c r="D21" s="60" t="n">
        <x:v>29872672</x:v>
      </x:c>
      <x:c r="E21" s="60" t="n">
        <x:v>50272473</x:v>
      </x:c>
      <x:c r="F21" s="60" t="n">
        <x:f>F19+F20</x:f>
        <x:v>47650376.44197976</x:v>
      </x:c>
      <x:c r="G21" s="60" t="n">
        <x:f>G19+G20</x:f>
        <x:v>97922849.44197977</x:v>
      </x:c>
      <x:c r="H21" s="60" t="n">
        <x:f>H19+H20</x:f>
        <x:v>102924813.11467633</x:v>
      </x:c>
      <x:c r="I21" s="60" t="n">
        <x:f>I19+I20</x:f>
        <x:v>109100301.90155686</x:v>
      </x:c>
      <x:c r="J21" s="60" t="n">
        <x:f>J19+J20</x:f>
        <x:v>114555316.9966348</x:v>
      </x:c>
      <x:c r="K21" s="83" t="n">
        <x:f>K19+K20</x:f>
        <x:v>119137529.67650023</x:v>
      </x:c>
    </x:row>
    <x:row r="22">
      <x:c r="A22" s="91" t="str">
        <x:v>Net Kâr Marjı</x:v>
      </x:c>
      <x:c r="B22" s="103" t="n">
        <x:v>0.07847114</x:v>
      </x:c>
      <x:c r="C22" s="103" t="n">
        <x:v>0.0234859</x:v>
      </x:c>
      <x:c r="D22" s="103" t="n">
        <x:v>0.03597695</x:v>
      </x:c>
      <x:c r="E22" s="103" t="n">
        <x:v>0.07584998</x:v>
      </x:c>
      <x:c r="F22" s="103" t="n">
        <x:f>F21/F6</x:f>
        <x:v>0.07189384195706823</x:v>
      </x:c>
      <x:c r="G22" s="103" t="n">
        <x:f>G21/G6</x:f>
        <x:v>0.07387192282037493</x:v>
      </x:c>
      <x:c r="H22" s="103" t="n">
        <x:f>H21/H6</x:f>
        <x:v>0.07189384195706826</x:v>
      </x:c>
      <x:c r="I22" s="103" t="n">
        <x:f>I21/I6</x:f>
        <x:v>0.07189384195706822</x:v>
      </x:c>
      <x:c r="J22" s="103" t="n">
        <x:f>J21/J6</x:f>
        <x:v>0.07189384195706827</x:v>
      </x:c>
      <x:c r="K22" s="103" t="n">
        <x:f>K21/K6</x:f>
        <x:v>0.0718938419570683</x:v>
      </x:c>
    </x:row>
    <x:row r="23">
      <x:c r="A23" s="72" t="str">
        <x:v>Kontrol Gücü Olmayan Paylar</x:v>
      </x:c>
      <x:c r="B23" s="60" t="n">
        <x:v>294825</x:v>
      </x:c>
      <x:c r="C23" s="60" t="n">
        <x:v>718483</x:v>
      </x:c>
      <x:c r="D23" s="60" t="n">
        <x:v>349489</x:v>
      </x:c>
      <x:c r="E23" s="60" t="n">
        <x:v>424789</x:v>
      </x:c>
      <x:c r="F23" s="60" t="n">
        <x:f>E23*'Varsayımlar'!E20</x:f>
        <x:v>424789</x:v>
      </x:c>
      <x:c r="G23" s="60" t="n">
        <x:f>E23+F23</x:f>
        <x:v>849578</x:v>
      </x:c>
      <x:c r="H23" s="60" t="n">
        <x:f>G23*(1+'Varsayımlar'!H5)</x:f>
        <x:v>917544.2400000001</x:v>
      </x:c>
      <x:c r="I23" s="60" t="n">
        <x:f>H23*(1+'Varsayımlar'!I5)</x:f>
        <x:v>972596.8944000001</x:v>
      </x:c>
      <x:c r="J23" s="60" t="n">
        <x:f>I23*(1+'Varsayımlar'!J5)</x:f>
        <x:v>1021226.7391200002</x:v>
      </x:c>
      <x:c r="K23" s="83" t="n">
        <x:f>J23*(1+'Varsayımlar'!K5)</x:f>
        <x:v>1062075.8086848003</x:v>
      </x:c>
    </x:row>
    <x:row r="24">
      <x:c r="A24" s="99" t="str">
        <x:v>Ana Ortaklık Net Kârı</x:v>
      </x:c>
      <x:c r="B24" s="100" t="n">
        <x:v>53577336</x:v>
      </x:c>
      <x:c r="C24" s="100" t="n">
        <x:v>18315157</x:v>
      </x:c>
      <x:c r="D24" s="100" t="n">
        <x:v>29523183</x:v>
      </x:c>
      <x:c r="E24" s="100" t="n">
        <x:v>49847684</x:v>
      </x:c>
      <x:c r="F24" s="100" t="n">
        <x:f>F21-F23</x:f>
        <x:v>47225587.44197976</x:v>
      </x:c>
      <x:c r="G24" s="100" t="n">
        <x:f>G21-G23</x:f>
        <x:v>97073271.44197977</x:v>
      </x:c>
      <x:c r="H24" s="100" t="n">
        <x:f>H21-H23</x:f>
        <x:v>102007268.87467633</x:v>
      </x:c>
      <x:c r="I24" s="100" t="n">
        <x:f>I21-I23</x:f>
        <x:v>108127705.00715686</x:v>
      </x:c>
      <x:c r="J24" s="100" t="n">
        <x:f>J21-J23</x:f>
        <x:v>113534090.25751479</x:v>
      </x:c>
      <x:c r="K24" s="100" t="n">
        <x:f>K21-K23</x:f>
        <x:v>118075453.86781543</x:v>
      </x:c>
    </x:row>
  </x:sheetData>
  <x:mergeCells>
    <x:mergeCell ref="A1:K1"/>
    <x:mergeCell ref="A2:K2"/>
    <x:mergeCell ref="A5:K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5" t="str">
        <x:v>BİLANÇO</x:v>
      </x:c>
    </x:row>
    <x:row r="2">
      <x:c r="A2" s="26" t="str">
        <x:v>Nakit, işletme sermayesi, borç ve özkaynak bağlantıları görünür şekilde kuruldu</x:v>
      </x:c>
    </x:row>
    <x:row r="4">
      <x:c r="A4" s="36" t="str">
        <x:v>Kalem</x:v>
      </x:c>
      <x:c r="B4" s="34" t="str">
        <x:v>2023 Gerçekleşen</x:v>
      </x:c>
      <x:c r="C4" s="34" t="str">
        <x:v>2024 Gerçekleşen</x:v>
      </x:c>
      <x:c r="D4" s="34" t="str">
        <x:v>2025 Gerçekleşen</x:v>
      </x:c>
      <x:c r="E4" s="34" t="str">
        <x:v>2026 İlk 6 Ay Gerçekleşen</x:v>
      </x:c>
      <x:c r="F4" s="34" t="str">
        <x:v>2026 İkinci 6 Ay Tahmin</x:v>
      </x:c>
      <x:c r="G4" s="34" t="str">
        <x:v>2026 Yıl Sonu Tahmin</x:v>
      </x:c>
      <x:c r="H4" s="34" t="str">
        <x:v>2027 Tahmin</x:v>
      </x:c>
      <x:c r="I4" s="34" t="str">
        <x:v>2028 Tahmin</x:v>
      </x:c>
      <x:c r="J4" s="34" t="str">
        <x:v>2029 Tahmin</x:v>
      </x:c>
      <x:c r="K4" s="35" t="str">
        <x:v>2030 Tahmin</x:v>
      </x:c>
    </x:row>
    <x:row r="5">
      <x:c r="A5" s="69" t="str">
        <x:v>Dönen Varlıklar</x:v>
      </x:c>
      <x:c r="B5" s="81"/>
      <x:c r="C5" s="81"/>
      <x:c r="D5" s="81"/>
      <x:c r="E5" s="81"/>
      <x:c r="F5" s="81"/>
      <x:c r="G5" s="81"/>
      <x:c r="H5" s="81"/>
      <x:c r="I5" s="81"/>
      <x:c r="J5" s="81"/>
      <x:c r="K5" s="82"/>
    </x:row>
    <x:row r="6">
      <x:c r="A6" s="72" t="str">
        <x:v>Nakit ve Nakit Benzerleri</x:v>
      </x:c>
      <x:c r="B6" s="60" t="n">
        <x:v>61250110</x:v>
      </x:c>
      <x:c r="C6" s="60" t="n">
        <x:v>54890300</x:v>
      </x:c>
      <x:c r="D6" s="60" t="n">
        <x:v>72110450</x:v>
      </x:c>
      <x:c r="E6" s="60" t="n">
        <x:v>145230100</x:v>
      </x:c>
      <x:c r="F6" s="60" t="n">
        <x:f>'Nakit Akış'!F26</x:f>
        <x:v>293850344.4031316</x:v>
      </x:c>
      <x:c r="G6" s="60" t="n">
        <x:f>'Nakit Akış'!G26</x:f>
        <x:v>520203290.18363845</x:v>
      </x:c>
      <x:c r="H6" s="60" t="n">
        <x:f>'Nakit Akış'!H26</x:f>
        <x:v>622617272.2575792</x:v>
      </x:c>
      <x:c r="I6" s="60" t="n">
        <x:f>'Nakit Akış'!I26</x:f>
        <x:v>729970806.0653262</x:v>
      </x:c>
      <x:c r="J6" s="60" t="n">
        <x:f>'Nakit Akış'!J26</x:f>
        <x:v>842041161.4805205</x:v>
      </x:c>
      <x:c r="K6" s="83" t="n">
        <x:f>'Nakit Akış'!K26</x:f>
        <x:v>957904424.7244056</x:v>
      </x:c>
    </x:row>
    <x:row r="7">
      <x:c r="A7" s="72" t="str">
        <x:v>Ticari Alacaklar</x:v>
      </x:c>
      <x:c r="B7" s="60" t="n">
        <x:v>48320150</x:v>
      </x:c>
      <x:c r="C7" s="60" t="n">
        <x:v>41200100</x:v>
      </x:c>
      <x:c r="D7" s="60" t="n">
        <x:v>58420300</x:v>
      </x:c>
      <x:c r="E7" s="60" t="n">
        <x:v>112450600</x:v>
      </x:c>
      <x:c r="F7" s="60" t="n">
        <x:f>'Gelir Tablosu'!F6/182*'Varsayımlar'!F13</x:f>
        <x:v>138600500</x:v>
      </x:c>
      <x:c r="G7" s="60" t="n">
        <x:f>'Gelir Tablosu'!G6/365*'Varsayımlar'!G13</x:f>
        <x:v>138220772.60273972</x:v>
      </x:c>
      <x:c r="H7" s="60" t="n">
        <x:f>'Gelir Tablosu'!H6/365*'Varsayımlar'!H13</x:f>
        <x:v>149278434.41095892</x:v>
      </x:c>
      <x:c r="I7" s="60" t="n">
        <x:f>'Gelir Tablosu'!I6/365*'Varsayımlar'!I13</x:f>
        <x:v>158235140.47561648</x:v>
      </x:c>
      <x:c r="J7" s="60" t="n">
        <x:f>'Gelir Tablosu'!J6/365*'Varsayımlar'!J13</x:f>
        <x:v>166146897.4993973</x:v>
      </x:c>
      <x:c r="K7" s="83" t="n">
        <x:f>'Gelir Tablosu'!K6/365*'Varsayımlar'!K13</x:f>
        <x:v>172792773.3993732</x:v>
      </x:c>
    </x:row>
    <x:row r="8">
      <x:c r="A8" s="72" t="str">
        <x:v>Stoklar</x:v>
      </x:c>
      <x:c r="B8" s="60" t="n">
        <x:v>65410200</x:v>
      </x:c>
      <x:c r="C8" s="60" t="n">
        <x:v>62150400</x:v>
      </x:c>
      <x:c r="D8" s="60" t="n">
        <x:v>78900100</x:v>
      </x:c>
      <x:c r="E8" s="60" t="n">
        <x:v>138600500</x:v>
      </x:c>
      <x:c r="F8" s="60" t="n">
        <x:f>ABS('Gelir Tablosu'!F7)/182*'Varsayımlar'!F14</x:f>
        <x:v>43199674</x:v>
      </x:c>
      <x:c r="G8" s="60" t="n">
        <x:f>ABS('Gelir Tablosu'!G7)/365*'Varsayımlar'!G14</x:f>
        <x:v>43081318.72876713</x:v>
      </x:c>
      <x:c r="H8" s="60" t="n">
        <x:f>ABS('Gelir Tablosu'!H7)/365*'Varsayımlar'!H14</x:f>
        <x:v>46527824.2270685</x:v>
      </x:c>
      <x:c r="I8" s="60" t="n">
        <x:f>ABS('Gelir Tablosu'!I7)/365*'Varsayımlar'!I14</x:f>
        <x:v>49319493.68069261</x:v>
      </x:c>
      <x:c r="J8" s="60" t="n">
        <x:f>ABS('Gelir Tablosu'!J7)/365*'Varsayımlar'!J14</x:f>
        <x:v>51785468.36472725</x:v>
      </x:c>
      <x:c r="K8" s="83" t="n">
        <x:f>ABS('Gelir Tablosu'!K7)/365*'Varsayımlar'!K14</x:f>
        <x:v>53856887.099316336</x:v>
      </x:c>
    </x:row>
    <x:row r="9">
      <x:c r="A9" s="72" t="str">
        <x:v>Diğer Dönen Varlıklar</x:v>
      </x:c>
      <x:c r="B9" s="60" t="n">
        <x:v>26168961</x:v>
      </x:c>
      <x:c r="C9" s="60" t="n">
        <x:v>27350248</x:v>
      </x:c>
      <x:c r="D9" s="60" t="n">
        <x:v>27500286</x:v>
      </x:c>
      <x:c r="E9" s="60" t="n">
        <x:v>43199674</x:v>
      </x:c>
      <x:c r="F9" s="60" t="n">
        <x:f>E9*(1+'Varsayımlar'!F5/2)</x:f>
        <x:v>43199674</x:v>
      </x:c>
      <x:c r="G9" s="60" t="n">
        <x:f>F9</x:f>
        <x:v>43199674</x:v>
      </x:c>
      <x:c r="H9" s="60" t="n">
        <x:f>G9*(1+'Varsayımlar'!H5)</x:f>
        <x:v>46655647.92</x:v>
      </x:c>
      <x:c r="I9" s="60" t="n">
        <x:f>H9*(1+'Varsayımlar'!I5)</x:f>
        <x:v>49454986.795200005</x:v>
      </x:c>
      <x:c r="J9" s="60" t="n">
        <x:f>I9*(1+'Varsayımlar'!J5)</x:f>
        <x:v>51927736.13496001</x:v>
      </x:c>
      <x:c r="K9" s="83" t="n">
        <x:f>J9*(1+'Varsayımlar'!K5)</x:f>
        <x:v>54004845.580358416</x:v>
      </x:c>
    </x:row>
    <x:row r="10">
      <x:c r="A10" s="91" t="str">
        <x:v>Toplam Dönen Varlıklar</x:v>
      </x:c>
      <x:c r="B10" s="92" t="n">
        <x:v>201149421</x:v>
      </x:c>
      <x:c r="C10" s="92" t="n">
        <x:v>185591048</x:v>
      </x:c>
      <x:c r="D10" s="92" t="n">
        <x:v>236931136</x:v>
      </x:c>
      <x:c r="E10" s="92" t="n">
        <x:v>439480874</x:v>
      </x:c>
      <x:c r="F10" s="92" t="n">
        <x:f>SUM(F6:F9)</x:f>
        <x:v>518850192.4031316</x:v>
      </x:c>
      <x:c r="G10" s="92" t="n">
        <x:f>SUM(G6:G9)</x:f>
        <x:v>744705055.5151453</x:v>
      </x:c>
      <x:c r="H10" s="92" t="n">
        <x:f>SUM(H6:H9)</x:f>
        <x:v>865079178.8156066</x:v>
      </x:c>
      <x:c r="I10" s="92" t="n">
        <x:f>SUM(I6:I9)</x:f>
        <x:v>986980427.0168353</x:v>
      </x:c>
      <x:c r="J10" s="92" t="n">
        <x:f>SUM(J6:J9)</x:f>
        <x:v>1111901263.479605</x:v>
      </x:c>
      <x:c r="K10" s="92" t="n">
        <x:f>SUM(K6:K9)</x:f>
        <x:v>1238558930.8034537</x:v>
      </x:c>
    </x:row>
    <x:row r="11">
      <x:c r="A11" s="104" t="str">
        <x:v>Duran Varlıklar</x:v>
      </x:c>
      <x:c r="B11" s="60"/>
      <x:c r="C11" s="60"/>
      <x:c r="D11" s="60"/>
      <x:c r="E11" s="60"/>
      <x:c r="F11" s="60"/>
      <x:c r="G11" s="60"/>
      <x:c r="H11" s="60"/>
      <x:c r="I11" s="60"/>
      <x:c r="J11" s="60"/>
      <x:c r="K11" s="83"/>
    </x:row>
    <x:row r="12">
      <x:c r="A12" s="72" t="str">
        <x:v>Maddi Duran Varlıklar</x:v>
      </x:c>
      <x:c r="B12" s="60" t="n">
        <x:v>140250100</x:v>
      </x:c>
      <x:c r="C12" s="60" t="n">
        <x:v>230120400</x:v>
      </x:c>
      <x:c r="D12" s="60" t="n">
        <x:v>305400100</x:v>
      </x:c>
      <x:c r="E12" s="60" t="n">
        <x:v>362100400</x:v>
      </x:c>
      <x:c r="F12" s="60" t="n">
        <x:f>E12-'Nakit Akış'!F15+'Gelir Tablosu'!F12</x:f>
        <x:v>352799266.1870051</x:v>
      </x:c>
      <x:c r="G12" s="60" t="n">
        <x:f>F12-'Nakit Akış'!G15+'Gelir Tablosu'!G12</x:f>
        <x:v>334309748.71301025</x:v>
      </x:c>
      <x:c r="H12" s="60" t="n">
        <x:f>G12-'Nakit Akış'!H15+'Gelir Tablosu'!H12</x:f>
        <x:v>314528074.1162854</x:v>
      </x:c>
      <x:c r="I12" s="60" t="n">
        <x:f>H12-'Nakit Akış'!I15+'Gelir Tablosu'!I12</x:f>
        <x:v>293559499.043757</x:v>
      </x:c>
      <x:c r="J12" s="60" t="n">
        <x:f>I12-'Nakit Akış'!J15+'Gelir Tablosu'!J12</x:f>
        <x:v>271542495.21760225</x:v>
      </x:c>
      <x:c r="K12" s="83" t="n">
        <x:f>J12-'Nakit Akış'!K15+'Gelir Tablosu'!K12</x:f>
        <x:v>248644811.23840123</x:v>
      </x:c>
    </x:row>
    <x:row r="13">
      <x:c r="A13" s="72" t="str">
        <x:v>Maddi Olmayan Duran Varlıklar</x:v>
      </x:c>
      <x:c r="B13" s="60" t="n">
        <x:v>8120300</x:v>
      </x:c>
      <x:c r="C13" s="60" t="n">
        <x:v>12400100</x:v>
      </x:c>
      <x:c r="D13" s="60" t="n">
        <x:v>18200500</x:v>
      </x:c>
      <x:c r="E13" s="60" t="n">
        <x:v>21800200</x:v>
      </x:c>
      <x:c r="F13" s="60" t="n">
        <x:f>E13*(1+'Varsayımlar'!F5/2)</x:f>
        <x:v>21800200</x:v>
      </x:c>
      <x:c r="G13" s="60" t="n">
        <x:f>F13</x:f>
        <x:v>21800200</x:v>
      </x:c>
      <x:c r="H13" s="60" t="n">
        <x:f>G13*(1+'Varsayımlar'!H5)</x:f>
        <x:v>23544216</x:v>
      </x:c>
      <x:c r="I13" s="60" t="n">
        <x:f>H13*(1+'Varsayımlar'!I5)</x:f>
        <x:v>24956868.96</x:v>
      </x:c>
      <x:c r="J13" s="60" t="n">
        <x:f>I13*(1+'Varsayımlar'!J5)</x:f>
        <x:v>26204712.408000004</x:v>
      </x:c>
      <x:c r="K13" s="83" t="n">
        <x:f>J13*(1+'Varsayımlar'!K5)</x:f>
        <x:v>27252900.904320005</x:v>
      </x:c>
    </x:row>
    <x:row r="14">
      <x:c r="A14" s="72" t="str">
        <x:v>Diğer Duran Varlıklar</x:v>
      </x:c>
      <x:c r="B14" s="60" t="n">
        <x:v>17273852</x:v>
      </x:c>
      <x:c r="C14" s="60" t="n">
        <x:v>26015979</x:v>
      </x:c>
      <x:c r="D14" s="60" t="n">
        <x:v>31442107</x:v>
      </x:c>
      <x:c r="E14" s="60" t="n">
        <x:v>36606042</x:v>
      </x:c>
      <x:c r="F14" s="60" t="n">
        <x:f>E14*(1+'Varsayımlar'!F5/2)</x:f>
        <x:v>36606042</x:v>
      </x:c>
      <x:c r="G14" s="60" t="n">
        <x:f>F14</x:f>
        <x:v>36606042</x:v>
      </x:c>
      <x:c r="H14" s="60" t="n">
        <x:f>G14*(1+'Varsayımlar'!H5)</x:f>
        <x:v>39534525.36</x:v>
      </x:c>
      <x:c r="I14" s="60" t="n">
        <x:f>H14*(1+'Varsayımlar'!I5)</x:f>
        <x:v>41906596.8816</x:v>
      </x:c>
      <x:c r="J14" s="60" t="n">
        <x:f>I14*(1+'Varsayımlar'!J5)</x:f>
        <x:v>44001926.72568</x:v>
      </x:c>
      <x:c r="K14" s="83" t="n">
        <x:f>J14*(1+'Varsayımlar'!K5)</x:f>
        <x:v>45762003.7947072</x:v>
      </x:c>
    </x:row>
    <x:row r="15">
      <x:c r="A15" s="72" t="str">
        <x:v>Toplam Duran Varlıklar</x:v>
      </x:c>
      <x:c r="B15" s="60" t="n">
        <x:v>165644252</x:v>
      </x:c>
      <x:c r="C15" s="60" t="n">
        <x:v>268536479</x:v>
      </x:c>
      <x:c r="D15" s="60" t="n">
        <x:v>355042707</x:v>
      </x:c>
      <x:c r="E15" s="60" t="n">
        <x:v>420506642</x:v>
      </x:c>
      <x:c r="F15" s="60" t="n">
        <x:f>SUM(F12:F14)</x:f>
        <x:v>411205508.1870051</x:v>
      </x:c>
      <x:c r="G15" s="60" t="n">
        <x:f>SUM(G12:G14)</x:f>
        <x:v>392715990.71301025</x:v>
      </x:c>
      <x:c r="H15" s="60" t="n">
        <x:f>SUM(H12:H14)</x:f>
        <x:v>377606815.4762854</x:v>
      </x:c>
      <x:c r="I15" s="60" t="n">
        <x:f>SUM(I12:I14)</x:f>
        <x:v>360422964.885357</x:v>
      </x:c>
      <x:c r="J15" s="60" t="n">
        <x:f>SUM(J12:J14)</x:f>
        <x:v>341749134.35128224</x:v>
      </x:c>
      <x:c r="K15" s="83" t="n">
        <x:f>SUM(K12:K14)</x:f>
        <x:v>321659715.9374284</x:v>
      </x:c>
    </x:row>
    <x:row r="16">
      <x:c r="A16" s="91" t="str">
        <x:v>TOPLAM VARLIKLAR</x:v>
      </x:c>
      <x:c r="B16" s="92" t="n">
        <x:f>B10+B15</x:f>
        <x:v>366793673</x:v>
      </x:c>
      <x:c r="C16" s="92" t="n">
        <x:f>C10+C15</x:f>
        <x:v>454127527</x:v>
      </x:c>
      <x:c r="D16" s="92" t="n">
        <x:f>D10+D15</x:f>
        <x:v>591973843</x:v>
      </x:c>
      <x:c r="E16" s="92" t="n">
        <x:f>E10+E15</x:f>
        <x:v>859987516</x:v>
      </x:c>
      <x:c r="F16" s="92" t="n">
        <x:f>F10+F15</x:f>
        <x:v>930055700.5901368</x:v>
      </x:c>
      <x:c r="G16" s="92" t="n">
        <x:f>G10+G15</x:f>
        <x:v>1137421046.2281556</x:v>
      </x:c>
      <x:c r="H16" s="92" t="n">
        <x:f>H10+H15</x:f>
        <x:v>1242685994.291892</x:v>
      </x:c>
      <x:c r="I16" s="92" t="n">
        <x:f>I10+I15</x:f>
        <x:v>1347403391.9021924</x:v>
      </x:c>
      <x:c r="J16" s="92" t="n">
        <x:f>J10+J15</x:f>
        <x:v>1453650397.8308873</x:v>
      </x:c>
      <x:c r="K16" s="92" t="n">
        <x:f>K10+K15</x:f>
        <x:v>1560218646.7408822</x:v>
      </x:c>
    </x:row>
    <x:row r="17">
      <x:c r="A17" s="104" t="str">
        <x:v>Kısa Vadeli Yükümlülükler</x:v>
      </x:c>
      <x:c r="B17" s="60"/>
      <x:c r="C17" s="60"/>
      <x:c r="D17" s="60"/>
      <x:c r="E17" s="60"/>
      <x:c r="F17" s="60"/>
      <x:c r="G17" s="60"/>
      <x:c r="H17" s="60"/>
      <x:c r="I17" s="60"/>
      <x:c r="J17" s="60"/>
      <x:c r="K17" s="83"/>
    </x:row>
    <x:row r="18">
      <x:c r="A18" s="72" t="str">
        <x:v>Kısa Vadeli Finansal Borçlar</x:v>
      </x:c>
      <x:c r="B18" s="60" t="n">
        <x:v>28400100</x:v>
      </x:c>
      <x:c r="C18" s="60" t="n">
        <x:v>22150300</x:v>
      </x:c>
      <x:c r="D18" s="60" t="n">
        <x:v>25800100</x:v>
      </x:c>
      <x:c r="E18" s="60" t="n">
        <x:v>58900400</x:v>
      </x:c>
      <x:c r="F18" s="60" t="n">
        <x:f>'Borç Planı'!F9</x:f>
        <x:v>58900400</x:v>
      </x:c>
      <x:c r="G18" s="60" t="n">
        <x:f>'Borç Planı'!G9</x:f>
        <x:v>58900400</x:v>
      </x:c>
      <x:c r="H18" s="60" t="n">
        <x:f>'Borç Planı'!H9</x:f>
        <x:v>58900400</x:v>
      </x:c>
      <x:c r="I18" s="60" t="n">
        <x:f>'Borç Planı'!I9</x:f>
        <x:v>58900400</x:v>
      </x:c>
      <x:c r="J18" s="60" t="n">
        <x:f>'Borç Planı'!J9</x:f>
        <x:v>58900400</x:v>
      </x:c>
      <x:c r="K18" s="83" t="n">
        <x:f>'Borç Planı'!K9</x:f>
        <x:v>58900400</x:v>
      </x:c>
    </x:row>
    <x:row r="19">
      <x:c r="A19" s="72" t="str">
        <x:v>Ticari Borçlar</x:v>
      </x:c>
      <x:c r="B19" s="60" t="n">
        <x:v>102150400</x:v>
      </x:c>
      <x:c r="C19" s="60" t="n">
        <x:v>98400200</x:v>
      </x:c>
      <x:c r="D19" s="60" t="n">
        <x:v>115600300</x:v>
      </x:c>
      <x:c r="E19" s="60" t="n">
        <x:v>224150200</x:v>
      </x:c>
      <x:c r="F19" s="60" t="n">
        <x:f>ABS('Gelir Tablosu'!F7)/182*'Varsayımlar'!F15</x:f>
        <x:v>224150200</x:v>
      </x:c>
      <x:c r="G19" s="60" t="n">
        <x:f>ABS('Gelir Tablosu'!G7)/365*'Varsayımlar'!G15</x:f>
        <x:v>223536089.8630137</x:v>
      </x:c>
      <x:c r="H19" s="60" t="n">
        <x:f>ABS('Gelir Tablosu'!H7)/365*'Varsayımlar'!H15</x:f>
        <x:v>241418977.05205482</x:v>
      </x:c>
      <x:c r="I19" s="60" t="n">
        <x:f>ABS('Gelir Tablosu'!I7)/365*'Varsayımlar'!I15</x:f>
        <x:v>255904115.67517814</x:v>
      </x:c>
      <x:c r="J19" s="60" t="n">
        <x:f>ABS('Gelir Tablosu'!J7)/365*'Varsayımlar'!J15</x:f>
        <x:v>268699321.4589371</x:v>
      </x:c>
      <x:c r="K19" s="83" t="n">
        <x:f>ABS('Gelir Tablosu'!K7)/365*'Varsayımlar'!K15</x:f>
        <x:v>279447294.31729454</x:v>
      </x:c>
    </x:row>
    <x:row r="20">
      <x:c r="A20" s="72" t="str">
        <x:v>Diğer Kısa Vadeli Yükümlülükler</x:v>
      </x:c>
      <x:c r="B20" s="60" t="n">
        <x:v>24720474</x:v>
      </x:c>
      <x:c r="C20" s="60" t="n">
        <x:v>28217951</x:v>
      </x:c>
      <x:c r="D20" s="60" t="n">
        <x:v>28347801</x:v>
      </x:c>
      <x:c r="E20" s="60" t="n">
        <x:v>42318721</x:v>
      </x:c>
      <x:c r="F20" s="60" t="n">
        <x:f>E20*(1+'Varsayımlar'!F5/2)</x:f>
        <x:v>42318721</x:v>
      </x:c>
      <x:c r="G20" s="60" t="n">
        <x:f>F20</x:f>
        <x:v>42318721</x:v>
      </x:c>
      <x:c r="H20" s="60" t="n">
        <x:f>G20*(1+'Varsayımlar'!H5)</x:f>
        <x:v>45704218.68</x:v>
      </x:c>
      <x:c r="I20" s="60" t="n">
        <x:f>H20*(1+'Varsayımlar'!I5)</x:f>
        <x:v>48446471.8008</x:v>
      </x:c>
      <x:c r="J20" s="60" t="n">
        <x:f>I20*(1+'Varsayımlar'!J5)</x:f>
        <x:v>50868795.39084001</x:v>
      </x:c>
      <x:c r="K20" s="83" t="n">
        <x:f>J20*(1+'Varsayımlar'!K5)</x:f>
        <x:v>52903547.20647361</x:v>
      </x:c>
    </x:row>
    <x:row r="21">
      <x:c r="A21" s="91" t="str">
        <x:v>Toplam Kısa Vadeli Yükümlülükler</x:v>
      </x:c>
      <x:c r="B21" s="92" t="n">
        <x:v>155270974</x:v>
      </x:c>
      <x:c r="C21" s="92" t="n">
        <x:v>148768451</x:v>
      </x:c>
      <x:c r="D21" s="92" t="n">
        <x:v>169748201</x:v>
      </x:c>
      <x:c r="E21" s="92" t="n">
        <x:v>325369321</x:v>
      </x:c>
      <x:c r="F21" s="92" t="n">
        <x:f>SUM(F18:F20)</x:f>
        <x:v>325369321</x:v>
      </x:c>
      <x:c r="G21" s="92" t="n">
        <x:f>SUM(G18:G20)</x:f>
        <x:v>324755210.86301374</x:v>
      </x:c>
      <x:c r="H21" s="92" t="n">
        <x:f>SUM(H18:H20)</x:f>
        <x:v>346023595.7320548</x:v>
      </x:c>
      <x:c r="I21" s="92" t="n">
        <x:f>SUM(I18:I20)</x:f>
        <x:v>363250987.4759782</x:v>
      </x:c>
      <x:c r="J21" s="92" t="n">
        <x:f>SUM(J18:J20)</x:f>
        <x:v>378468516.8497771</x:v>
      </x:c>
      <x:c r="K21" s="92" t="n">
        <x:f>SUM(K18:K20)</x:f>
        <x:v>391251241.5237681</x:v>
      </x:c>
    </x:row>
    <x:row r="22">
      <x:c r="A22" s="104" t="str">
        <x:v>Uzun Vadeli Yükümlülükler</x:v>
      </x:c>
      <x:c r="B22" s="60"/>
      <x:c r="C22" s="60"/>
      <x:c r="D22" s="60"/>
      <x:c r="E22" s="60"/>
      <x:c r="F22" s="60"/>
      <x:c r="G22" s="60"/>
      <x:c r="H22" s="60"/>
      <x:c r="I22" s="60"/>
      <x:c r="J22" s="60"/>
      <x:c r="K22" s="83"/>
    </x:row>
    <x:row r="23">
      <x:c r="A23" s="72" t="str">
        <x:v>Uzun Vadeli Finansal Borçlar</x:v>
      </x:c>
      <x:c r="B23" s="60" t="n">
        <x:v>5210100</x:v>
      </x:c>
      <x:c r="C23" s="60" t="n">
        <x:v>12800400</x:v>
      </x:c>
      <x:c r="D23" s="60" t="n">
        <x:v>38900200</x:v>
      </x:c>
      <x:c r="E23" s="60" t="n">
        <x:v>52400100</x:v>
      </x:c>
      <x:c r="F23" s="60" t="n">
        <x:f>'Borç Planı'!F14</x:f>
        <x:v>52400100</x:v>
      </x:c>
      <x:c r="G23" s="60" t="n">
        <x:f>'Borç Planı'!G14</x:f>
        <x:v>52400100</x:v>
      </x:c>
      <x:c r="H23" s="60" t="n">
        <x:f>'Borç Planı'!H14</x:f>
        <x:v>52400100</x:v>
      </x:c>
      <x:c r="I23" s="60" t="n">
        <x:f>'Borç Planı'!I14</x:f>
        <x:v>52400100</x:v>
      </x:c>
      <x:c r="J23" s="60" t="n">
        <x:f>'Borç Planı'!J14</x:f>
        <x:v>52400100</x:v>
      </x:c>
      <x:c r="K23" s="83" t="n">
        <x:f>'Borç Planı'!K14</x:f>
        <x:v>52400100</x:v>
      </x:c>
    </x:row>
    <x:row r="24">
      <x:c r="A24" s="72" t="str">
        <x:v>Diğer Uzun Vadeli Yükümlülükler</x:v>
      </x:c>
      <x:c r="B24" s="60" t="n">
        <x:v>3371832</x:v>
      </x:c>
      <x:c r="C24" s="60" t="n">
        <x:v>6310955</x:v>
      </x:c>
      <x:c r="D24" s="60" t="n">
        <x:v>13497448</x:v>
      </x:c>
      <x:c r="E24" s="60" t="n">
        <x:v>18911314</x:v>
      </x:c>
      <x:c r="F24" s="60" t="n">
        <x:f>E24*(1+'Varsayımlar'!F5/2)</x:f>
        <x:v>18911314</x:v>
      </x:c>
      <x:c r="G24" s="60" t="n">
        <x:f>F24</x:f>
        <x:v>18911314</x:v>
      </x:c>
      <x:c r="H24" s="60" t="n">
        <x:f>G24*(1+'Varsayımlar'!H5)</x:f>
        <x:v>20424219.12</x:v>
      </x:c>
      <x:c r="I24" s="60" t="n">
        <x:f>H24*(1+'Varsayımlar'!I5)</x:f>
        <x:v>21649672.2672</x:v>
      </x:c>
      <x:c r="J24" s="60" t="n">
        <x:f>I24*(1+'Varsayımlar'!J5)</x:f>
        <x:v>22732155.880560003</x:v>
      </x:c>
      <x:c r="K24" s="83" t="n">
        <x:f>J24*(1+'Varsayımlar'!K5)</x:f>
        <x:v>23641442.115782402</x:v>
      </x:c>
    </x:row>
    <x:row r="25">
      <x:c r="A25" s="91" t="str">
        <x:v>Toplam Uzun Vadeli Yükümlülükler</x:v>
      </x:c>
      <x:c r="B25" s="92" t="n">
        <x:v>8581932</x:v>
      </x:c>
      <x:c r="C25" s="92" t="n">
        <x:v>19111355</x:v>
      </x:c>
      <x:c r="D25" s="92" t="n">
        <x:v>52397648</x:v>
      </x:c>
      <x:c r="E25" s="92" t="n">
        <x:v>71311414</x:v>
      </x:c>
      <x:c r="F25" s="92" t="n">
        <x:f>SUM(F23:F24)</x:f>
        <x:v>71311414</x:v>
      </x:c>
      <x:c r="G25" s="92" t="n">
        <x:f>SUM(G23:G24)</x:f>
        <x:v>71311414</x:v>
      </x:c>
      <x:c r="H25" s="92" t="n">
        <x:f>SUM(H23:H24)</x:f>
        <x:v>72824319.12</x:v>
      </x:c>
      <x:c r="I25" s="92" t="n">
        <x:f>SUM(I23:I24)</x:f>
        <x:v>74049772.2672</x:v>
      </x:c>
      <x:c r="J25" s="92" t="n">
        <x:f>SUM(J23:J24)</x:f>
        <x:v>75132255.88056001</x:v>
      </x:c>
      <x:c r="K25" s="92" t="n">
        <x:f>SUM(K23:K24)</x:f>
        <x:v>76041542.11578241</x:v>
      </x:c>
    </x:row>
    <x:row r="26">
      <x:c r="A26" s="104" t="str">
        <x:v>TOPLAM YÜKÜMLÜLÜKLER</x:v>
      </x:c>
      <x:c r="B26" s="60" t="n">
        <x:f>B21+B25</x:f>
        <x:v>163852906</x:v>
      </x:c>
      <x:c r="C26" s="60" t="n">
        <x:f>C21+C25</x:f>
        <x:v>167879806</x:v>
      </x:c>
      <x:c r="D26" s="60" t="n">
        <x:f>D21+D25</x:f>
        <x:v>222145849</x:v>
      </x:c>
      <x:c r="E26" s="60" t="n">
        <x:f>E21+E25</x:f>
        <x:v>396680735</x:v>
      </x:c>
      <x:c r="F26" s="60" t="n">
        <x:f>F21+F25</x:f>
        <x:v>396680735</x:v>
      </x:c>
      <x:c r="G26" s="60" t="n">
        <x:f>G21+G25</x:f>
        <x:v>396066624.86301374</x:v>
      </x:c>
      <x:c r="H26" s="60" t="n">
        <x:f>H21+H25</x:f>
        <x:v>418847914.85205483</x:v>
      </x:c>
      <x:c r="I26" s="60" t="n">
        <x:f>I21+I25</x:f>
        <x:v>437300759.7431782</x:v>
      </x:c>
      <x:c r="J26" s="60" t="n">
        <x:f>J21+J25</x:f>
        <x:v>453600772.73033714</x:v>
      </x:c>
      <x:c r="K26" s="83" t="n">
        <x:f>K21+K25</x:f>
        <x:v>467292783.63955057</x:v>
      </x:c>
    </x:row>
    <x:row r="27">
      <x:c r="A27" s="72" t="str">
        <x:v>ÖZKAYNAKLAR</x:v>
      </x:c>
      <x:c r="B27" s="60"/>
      <x:c r="C27" s="60"/>
      <x:c r="D27" s="60"/>
      <x:c r="E27" s="60"/>
      <x:c r="F27" s="60"/>
      <x:c r="G27" s="60"/>
      <x:c r="H27" s="60"/>
      <x:c r="I27" s="60"/>
      <x:c r="J27" s="60"/>
      <x:c r="K27" s="83"/>
    </x:row>
    <x:row r="28">
      <x:c r="A28" s="72" t="str">
        <x:v>Ödenmiş Sermaye</x:v>
      </x:c>
      <x:c r="B28" s="60" t="n">
        <x:v>1926796</x:v>
      </x:c>
      <x:c r="C28" s="60" t="n">
        <x:v>1926796</x:v>
      </x:c>
      <x:c r="D28" s="60" t="n">
        <x:v>1926796</x:v>
      </x:c>
      <x:c r="E28" s="60" t="n">
        <x:v>1926796</x:v>
      </x:c>
      <x:c r="F28" s="60" t="n">
        <x:f>E28</x:f>
        <x:v>1926796</x:v>
      </x:c>
      <x:c r="G28" s="60" t="n">
        <x:f>F28</x:f>
        <x:v>1926796</x:v>
      </x:c>
      <x:c r="H28" s="60" t="n">
        <x:f>G28</x:f>
        <x:v>1926796</x:v>
      </x:c>
      <x:c r="I28" s="60" t="n">
        <x:f>H28</x:f>
        <x:v>1926796</x:v>
      </x:c>
      <x:c r="J28" s="60" t="n">
        <x:f>I28</x:f>
        <x:v>1926796</x:v>
      </x:c>
      <x:c r="K28" s="83" t="n">
        <x:f>J28</x:f>
        <x:v>1926796</x:v>
      </x:c>
    </x:row>
    <x:row r="29">
      <x:c r="A29" s="72" t="str">
        <x:v>Ana Ortaklığa Ait Özkaynaklar</x:v>
      </x:c>
      <x:c r="B29" s="60" t="n">
        <x:f>B16-B26-B30</x:f>
        <x:v>200763253</x:v>
      </x:c>
      <x:c r="C29" s="60" t="n">
        <x:f>C16-C26-C30</x:f>
        <x:v>282215289</x:v>
      </x:c>
      <x:c r="D29" s="60" t="n">
        <x:f>D16-D26-D30</x:f>
        <x:v>364099258</x:v>
      </x:c>
      <x:c r="E29" s="60" t="n">
        <x:f>E16-E26-E30</x:f>
        <x:v>456139125</x:v>
      </x:c>
      <x:c r="F29" s="60" t="n">
        <x:f>F16-F26-F30</x:f>
        <x:v>526207309.59013677</x:v>
      </x:c>
      <x:c r="G29" s="60" t="n">
        <x:f>G16-G26-G30</x:f>
        <x:v>734186765.3651419</x:v>
      </x:c>
      <x:c r="H29" s="60" t="n">
        <x:f>H16-H26-H30</x:f>
        <x:v>816097010.9598372</x:v>
      </x:c>
      <x:c r="I29" s="60" t="n">
        <x:f>I16-I26-I30</x:f>
        <x:v>901897099.5702143</x:v>
      </x:c>
      <x:c r="J29" s="60" t="n">
        <x:f>J16-J26-J30</x:f>
        <x:v>991433815.8823102</x:v>
      </x:c>
      <x:c r="K29" s="83" t="n">
        <x:f>K16-K26-K30</x:f>
        <x:v>1083965421.514362</x:v>
      </x:c>
    </x:row>
    <x:row r="30">
      <x:c r="A30" s="72" t="str">
        <x:v>Kontrol Gücü Olmayan Paylar</x:v>
      </x:c>
      <x:c r="B30" s="60" t="n">
        <x:v>2177514</x:v>
      </x:c>
      <x:c r="C30" s="60" t="n">
        <x:v>4032432</x:v>
      </x:c>
      <x:c r="D30" s="60" t="n">
        <x:v>5728736</x:v>
      </x:c>
      <x:c r="E30" s="60" t="n">
        <x:v>7167656</x:v>
      </x:c>
      <x:c r="F30" s="60" t="n">
        <x:f>E30*(1+'Varsayımlar'!F5/2)</x:f>
        <x:v>7167656</x:v>
      </x:c>
      <x:c r="G30" s="60" t="n">
        <x:f>F30</x:f>
        <x:v>7167656</x:v>
      </x:c>
      <x:c r="H30" s="60" t="n">
        <x:f>G30*(1+'Varsayımlar'!H5)</x:f>
        <x:v>7741068.48</x:v>
      </x:c>
      <x:c r="I30" s="60" t="n">
        <x:f>H30*(1+'Varsayımlar'!I5)</x:f>
        <x:v>8205532.588800001</x:v>
      </x:c>
      <x:c r="J30" s="60" t="n">
        <x:f>I30*(1+'Varsayımlar'!J5)</x:f>
        <x:v>8615809.218240002</x:v>
      </x:c>
      <x:c r="K30" s="83" t="n">
        <x:f>J30*(1+'Varsayımlar'!K5)</x:f>
        <x:v>8960441.586969603</x:v>
      </x:c>
    </x:row>
    <x:row r="31">
      <x:c r="A31" s="91" t="str">
        <x:v>Toplam Özkaynaklar</x:v>
      </x:c>
      <x:c r="B31" s="92" t="n">
        <x:f>B29+B30</x:f>
        <x:v>202940767</x:v>
      </x:c>
      <x:c r="C31" s="92" t="n">
        <x:f>C29+C30</x:f>
        <x:v>286247721</x:v>
      </x:c>
      <x:c r="D31" s="92" t="n">
        <x:f>D29+D30</x:f>
        <x:v>369827994</x:v>
      </x:c>
      <x:c r="E31" s="92" t="n">
        <x:f>E29+E30</x:f>
        <x:v>463306781</x:v>
      </x:c>
      <x:c r="F31" s="92" t="n">
        <x:f>F29+F30</x:f>
        <x:v>533374965.59013677</x:v>
      </x:c>
      <x:c r="G31" s="92" t="n">
        <x:f>G29+G30</x:f>
        <x:v>741354421.3651419</x:v>
      </x:c>
      <x:c r="H31" s="92" t="n">
        <x:f>H29+H30</x:f>
        <x:v>823838079.4398372</x:v>
      </x:c>
      <x:c r="I31" s="92" t="n">
        <x:f>I29+I30</x:f>
        <x:v>910102632.1590142</x:v>
      </x:c>
      <x:c r="J31" s="92" t="n">
        <x:f>J29+J30</x:f>
        <x:v>1000049625.1005502</x:v>
      </x:c>
      <x:c r="K31" s="92" t="n">
        <x:f>K29+K30</x:f>
        <x:v>1092925863.1013317</x:v>
      </x:c>
    </x:row>
    <x:row r="32">
      <x:c r="A32" s="91" t="str">
        <x:v>TOPLAM KAYNAKLAR</x:v>
      </x:c>
      <x:c r="B32" s="92" t="n">
        <x:f>B26+B31</x:f>
        <x:v>366793673</x:v>
      </x:c>
      <x:c r="C32" s="92" t="n">
        <x:f>C26+C31</x:f>
        <x:v>454127527</x:v>
      </x:c>
      <x:c r="D32" s="92" t="n">
        <x:f>D26+D31</x:f>
        <x:v>591973843</x:v>
      </x:c>
      <x:c r="E32" s="92" t="n">
        <x:f>E26+E31</x:f>
        <x:v>859987516</x:v>
      </x:c>
      <x:c r="F32" s="92" t="n">
        <x:f>F26+F31</x:f>
        <x:v>930055700.5901368</x:v>
      </x:c>
      <x:c r="G32" s="92" t="n">
        <x:f>G26+G31</x:f>
        <x:v>1137421046.2281556</x:v>
      </x:c>
      <x:c r="H32" s="92" t="n">
        <x:f>H26+H31</x:f>
        <x:v>1242685994.291892</x:v>
      </x:c>
      <x:c r="I32" s="92" t="n">
        <x:f>I26+I31</x:f>
        <x:v>1347403391.9021924</x:v>
      </x:c>
      <x:c r="J32" s="92" t="n">
        <x:f>J26+J31</x:f>
        <x:v>1453650397.8308873</x:v>
      </x:c>
      <x:c r="K32" s="92" t="n">
        <x:f>K26+K31</x:f>
        <x:v>1560218646.7408824</x:v>
      </x:c>
    </x:row>
    <x:row r="33">
      <x:c r="A33" s="99" t="str">
        <x:v>Bilanço Kontrolü</x:v>
      </x:c>
      <x:c r="B33" s="100" t="n">
        <x:f>B16-B32</x:f>
        <x:v>0</x:v>
      </x:c>
      <x:c r="C33" s="100" t="n">
        <x:f>C16-C32</x:f>
        <x:v>0</x:v>
      </x:c>
      <x:c r="D33" s="100" t="n">
        <x:f>D16-D32</x:f>
        <x:v>0</x:v>
      </x:c>
      <x:c r="E33" s="100" t="n">
        <x:f>E16-E32</x:f>
        <x:v>0</x:v>
      </x:c>
      <x:c r="F33" s="100" t="n">
        <x:f>F16-F32</x:f>
        <x:v>0</x:v>
      </x:c>
      <x:c r="G33" s="100" t="n">
        <x:f>G16-G32</x:f>
        <x:v>0</x:v>
      </x:c>
      <x:c r="H33" s="100" t="n">
        <x:f>H16-H32</x:f>
        <x:v>0</x:v>
      </x:c>
      <x:c r="I33" s="100" t="n">
        <x:f>I16-I32</x:f>
        <x:v>0</x:v>
      </x:c>
      <x:c r="J33" s="100" t="n">
        <x:f>J16-J32</x:f>
        <x:v>0</x:v>
      </x:c>
      <x:c r="K33" s="100" t="n">
        <x:f>K16-K32</x:f>
        <x:v>-2.384185791015625e-7</x:v>
      </x:c>
    </x:row>
  </x:sheetData>
  <x:mergeCells>
    <x:mergeCell ref="A1:K1"/>
    <x:mergeCell ref="A2:K2"/>
    <x:mergeCell ref="A5:K5"/>
    <x:mergeCell ref="A11:K11"/>
    <x:mergeCell ref="A17:K17"/>
    <x:mergeCell ref="A22:K22"/>
    <x:mergeCell ref="A26:K26"/>
  </x:mergeCells>
  <x:pageMargins left="0.7" right="0.7" top="0.75" bottom="0.75" header="0.3" footer="0.3"/>
  <x:legacyDrawing xmlns:r="http://schemas.openxmlformats.org/officeDocument/2006/relationships" r:id="R8bf15aeb6a04468f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5" t="str">
        <x:v>NAKİT AKIŞ TABLOSU</x:v>
      </x:c>
    </x:row>
    <x:row r="2">
      <x:c r="A2" s="26" t="str">
        <x:v>Dönem sonu nakit bilanço nakdine bağlanır</x:v>
      </x:c>
    </x:row>
    <x:row r="4">
      <x:c r="A4" s="36" t="str">
        <x:v>Kalem</x:v>
      </x:c>
      <x:c r="B4" s="34" t="str">
        <x:v>2023 Gerçekleşen</x:v>
      </x:c>
      <x:c r="C4" s="34" t="str">
        <x:v>2024 Gerçekleşen</x:v>
      </x:c>
      <x:c r="D4" s="34" t="str">
        <x:v>2025 Gerçekleşen</x:v>
      </x:c>
      <x:c r="E4" s="34" t="str">
        <x:v>2026 İlk 6 Ay Gerçekleşen</x:v>
      </x:c>
      <x:c r="F4" s="34" t="str">
        <x:v>2026 İkinci 6 Ay Tahmin</x:v>
      </x:c>
      <x:c r="G4" s="34" t="str">
        <x:v>2026 Yıl Sonu Tahmin</x:v>
      </x:c>
      <x:c r="H4" s="34" t="str">
        <x:v>2027 Tahmin</x:v>
      </x:c>
      <x:c r="I4" s="34" t="str">
        <x:v>2028 Tahmin</x:v>
      </x:c>
      <x:c r="J4" s="34" t="str">
        <x:v>2029 Tahmin</x:v>
      </x:c>
      <x:c r="K4" s="35" t="str">
        <x:v>2030 Tahmin</x:v>
      </x:c>
    </x:row>
    <x:row r="5">
      <x:c r="A5" s="69" t="str">
        <x:v>Operasyonel Nakit Akışı</x:v>
      </x:c>
      <x:c r="B5" s="81"/>
      <x:c r="C5" s="81"/>
      <x:c r="D5" s="81"/>
      <x:c r="E5" s="81"/>
      <x:c r="F5" s="81"/>
      <x:c r="G5" s="81"/>
      <x:c r="H5" s="81"/>
      <x:c r="I5" s="81"/>
      <x:c r="J5" s="81"/>
      <x:c r="K5" s="82"/>
    </x:row>
    <x:row r="6">
      <x:c r="A6" s="72" t="str">
        <x:v>Net Dönem Kârı</x:v>
      </x:c>
      <x:c r="B6" s="60" t="n">
        <x:f>'Gelir Tablosu'!B21</x:f>
        <x:v>53872161</x:v>
      </x:c>
      <x:c r="C6" s="60" t="n">
        <x:f>'Gelir Tablosu'!C21</x:f>
        <x:v>19033640</x:v>
      </x:c>
      <x:c r="D6" s="60" t="n">
        <x:f>'Gelir Tablosu'!D21</x:f>
        <x:v>29872672</x:v>
      </x:c>
      <x:c r="E6" s="60" t="n">
        <x:f>'Gelir Tablosu'!E21</x:f>
        <x:v>50272473</x:v>
      </x:c>
      <x:c r="F6" s="60" t="n">
        <x:f>'Gelir Tablosu'!F21</x:f>
        <x:v>47650376.44197976</x:v>
      </x:c>
      <x:c r="G6" s="60" t="n">
        <x:f>'Gelir Tablosu'!G21</x:f>
        <x:v>97922849.44197977</x:v>
      </x:c>
      <x:c r="H6" s="60" t="n">
        <x:f>'Gelir Tablosu'!H21</x:f>
        <x:v>102924813.11467633</x:v>
      </x:c>
      <x:c r="I6" s="60" t="n">
        <x:f>'Gelir Tablosu'!I21</x:f>
        <x:v>109100301.90155686</x:v>
      </x:c>
      <x:c r="J6" s="60" t="n">
        <x:f>'Gelir Tablosu'!J21</x:f>
        <x:v>114555316.9966348</x:v>
      </x:c>
      <x:c r="K6" s="83" t="n">
        <x:f>'Gelir Tablosu'!K21</x:f>
        <x:v>119137529.67650023</x:v>
      </x:c>
    </x:row>
    <x:row r="7">
      <x:c r="A7" s="72" t="str">
        <x:v>Amortisman ve İtfa</x:v>
      </x:c>
      <x:c r="B7" s="60" t="n">
        <x:v>12450200</x:v>
      </x:c>
      <x:c r="C7" s="60" t="n">
        <x:v>15800300</x:v>
      </x:c>
      <x:c r="D7" s="60" t="n">
        <x:v>19200400</x:v>
      </x:c>
      <x:c r="E7" s="60" t="n">
        <x:v>11350100</x:v>
      </x:c>
      <x:c r="F7" s="60" t="n">
        <x:f>-'Gelir Tablosu'!F12</x:f>
        <x:v>11350100</x:v>
      </x:c>
      <x:c r="G7" s="60" t="n">
        <x:f>-'Gelir Tablosu'!G12</x:f>
        <x:v>22700200</x:v>
      </x:c>
      <x:c r="H7" s="60" t="n">
        <x:f>-'Gelir Tablosu'!H12</x:f>
        <x:v>24516216.000000004</x:v>
      </x:c>
      <x:c r="I7" s="60" t="n">
        <x:f>-'Gelir Tablosu'!I12</x:f>
        <x:v>25987188.960000005</x:v>
      </x:c>
      <x:c r="J7" s="60" t="n">
        <x:f>-'Gelir Tablosu'!J12</x:f>
        <x:v>27286548.40800001</x:v>
      </x:c>
      <x:c r="K7" s="83" t="n">
        <x:f>-'Gelir Tablosu'!K12</x:f>
        <x:v>28378010.34432001</x:v>
      </x:c>
    </x:row>
    <x:row r="8">
      <x:c r="A8" s="72" t="str">
        <x:v>Ticari Alacak Değişimi</x:v>
      </x:c>
      <x:c r="B8" s="60" t="n">
        <x:v>-1000000</x:v>
      </x:c>
      <x:c r="C8" s="60" t="n">
        <x:v>7120050</x:v>
      </x:c>
      <x:c r="D8" s="60" t="n">
        <x:v>-17220200</x:v>
      </x:c>
      <x:c r="E8" s="60" t="n">
        <x:v>-54030300</x:v>
      </x:c>
      <x:c r="F8" s="60" t="n">
        <x:f>-('Bilanço'!F7-'Bilanço'!E7)</x:f>
        <x:v>-26149900</x:v>
      </x:c>
      <x:c r="G8" s="60" t="n">
        <x:f>-('Bilanço'!G7-'Bilanço'!E7)</x:f>
        <x:v>-25770172.60273972</x:v>
      </x:c>
      <x:c r="H8" s="60" t="n">
        <x:f>-('Bilanço'!H7-'Bilanço'!G7)</x:f>
        <x:v>-11057661.808219194</x:v>
      </x:c>
      <x:c r="I8" s="60" t="n">
        <x:f>-('Bilanço'!I7-'Bilanço'!H7)</x:f>
        <x:v>-8956706.064657569</x:v>
      </x:c>
      <x:c r="J8" s="60" t="n">
        <x:f>-('Bilanço'!J7-'Bilanço'!I7)</x:f>
        <x:v>-7911757.023780823</x:v>
      </x:c>
      <x:c r="K8" s="83" t="n">
        <x:f>-('Bilanço'!K7-'Bilanço'!J7)</x:f>
        <x:v>-6645875.899975896</x:v>
      </x:c>
    </x:row>
    <x:row r="9">
      <x:c r="A9" s="72" t="str">
        <x:v>Stok Değişimi</x:v>
      </x:c>
      <x:c r="B9" s="60" t="n">
        <x:v>2500000</x:v>
      </x:c>
      <x:c r="C9" s="60" t="n">
        <x:v>3259800</x:v>
      </x:c>
      <x:c r="D9" s="60" t="n">
        <x:v>-16749700</x:v>
      </x:c>
      <x:c r="E9" s="60" t="n">
        <x:v>-59700400</x:v>
      </x:c>
      <x:c r="F9" s="60" t="n">
        <x:f>-('Bilanço'!F8-'Bilanço'!E8)</x:f>
        <x:v>95400826</x:v>
      </x:c>
      <x:c r="G9" s="60" t="n">
        <x:f>-('Bilanço'!G8-'Bilanço'!E8)</x:f>
        <x:v>95519181.27123287</x:v>
      </x:c>
      <x:c r="H9" s="60" t="n">
        <x:f>-('Bilanço'!H8-'Bilanço'!G8)</x:f>
        <x:v>-3446505.498301372</x:v>
      </x:c>
      <x:c r="I9" s="60" t="n">
        <x:f>-('Bilanço'!I8-'Bilanço'!H8)</x:f>
        <x:v>-2791669.4536241144</x:v>
      </x:c>
      <x:c r="J9" s="60" t="n">
        <x:f>-('Bilanço'!J8-'Bilanço'!I8)</x:f>
        <x:v>-2465974.684034638</x:v>
      </x:c>
      <x:c r="K9" s="83" t="n">
        <x:f>-('Bilanço'!K8-'Bilanço'!J8)</x:f>
        <x:v>-2071418.734589085</x:v>
      </x:c>
    </x:row>
    <x:row r="10">
      <x:c r="A10" s="72" t="str">
        <x:v>Ticari Borç Değişimi</x:v>
      </x:c>
      <x:c r="B10" s="60" t="n">
        <x:v>8500000</x:v>
      </x:c>
      <x:c r="C10" s="60" t="n">
        <x:v>-3750200</x:v>
      </x:c>
      <x:c r="D10" s="60" t="n">
        <x:v>17200100</x:v>
      </x:c>
      <x:c r="E10" s="60" t="n">
        <x:v>108549900</x:v>
      </x:c>
      <x:c r="F10" s="60" t="n">
        <x:f>'Bilanço'!F19-'Bilanço'!E19</x:f>
        <x:v>0</x:v>
      </x:c>
      <x:c r="G10" s="60" t="n">
        <x:f>'Bilanço'!G19-'Bilanço'!E19</x:f>
        <x:v>-614110.1369862854</x:v>
      </x:c>
      <x:c r="H10" s="60" t="n">
        <x:f>'Bilanço'!H19-'Bilanço'!G19</x:f>
        <x:v>17882887.189041108</x:v>
      </x:c>
      <x:c r="I10" s="60" t="n">
        <x:f>'Bilanço'!I19-'Bilanço'!H19</x:f>
        <x:v>14485138.623123318</x:v>
      </x:c>
      <x:c r="J10" s="60" t="n">
        <x:f>'Bilanço'!J19-'Bilanço'!I19</x:f>
        <x:v>12795205.783758968</x:v>
      </x:c>
      <x:c r="K10" s="83" t="n">
        <x:f>'Bilanço'!K19-'Bilanço'!J19</x:f>
        <x:v>10747972.85835743</x:v>
      </x:c>
    </x:row>
    <x:row r="11">
      <x:c r="A11" s="72" t="str">
        <x:v>Diğer İşletme Sermayesi / Düzeltmeler</x:v>
      </x:c>
      <x:c r="B11" s="60" t="n">
        <x:v>-43856261</x:v>
      </x:c>
      <x:c r="C11" s="60" t="n">
        <x:v>6996810</x:v>
      </x:c>
      <x:c r="D11" s="60" t="n">
        <x:v>404971</x:v>
      </x:c>
      <x:c r="E11" s="60" t="n">
        <x:v>52952927</x:v>
      </x:c>
      <x:c r="F11" s="60" t="n">
        <x:f>-('Bilanço'!F9-'Bilanço'!E9)+('Bilanço'!F20-'Bilanço'!E20)+('Bilanço'!F24-'Bilanço'!E24)</x:f>
        <x:v>0</x:v>
      </x:c>
      <x:c r="G11" s="60" t="n">
        <x:f>-('Bilanço'!G9-'Bilanço'!E9)+('Bilanço'!G20-'Bilanço'!E20)+('Bilanço'!G24-'Bilanço'!E24)</x:f>
        <x:v>0</x:v>
      </x:c>
      <x:c r="H11" s="60" t="n">
        <x:f>-('Bilanço'!H9-'Bilanço'!G9)+('Bilanço'!H20-'Bilanço'!G20)+('Bilanço'!H24-'Bilanço'!G24)</x:f>
        <x:v>1442428.879999999</x:v>
      </x:c>
      <x:c r="I11" s="60" t="n">
        <x:f>-('Bilanço'!I9-'Bilanço'!H9)+('Bilanço'!I20-'Bilanço'!H20)+('Bilanço'!I24-'Bilanço'!H24)</x:f>
        <x:v>1168367.3927999996</x:v>
      </x:c>
      <x:c r="J11" s="60" t="n">
        <x:f>-('Bilanço'!J9-'Bilanço'!I9)+('Bilanço'!J20-'Bilanço'!I20)+('Bilanço'!J24-'Bilanço'!I24)</x:f>
        <x:v>1032057.8636400029</x:v>
      </x:c>
      <x:c r="K11" s="83" t="n">
        <x:f>-('Bilanço'!K9-'Bilanço'!J9)+('Bilanço'!K20-'Bilanço'!J20)+('Bilanço'!K24-'Bilanço'!J24)</x:f>
        <x:v>866928.6054575965</x:v>
      </x:c>
    </x:row>
    <x:row r="12">
      <x:c r="A12" s="72" t="str">
        <x:v>İşletme Sermayesi Değişimi</x:v>
      </x:c>
      <x:c r="B12" s="60" t="n">
        <x:v>-33856261</x:v>
      </x:c>
      <x:c r="C12" s="60" t="n">
        <x:v>13626310</x:v>
      </x:c>
      <x:c r="D12" s="60" t="n">
        <x:v>-16364829</x:v>
      </x:c>
      <x:c r="E12" s="60" t="n">
        <x:v>47822227</x:v>
      </x:c>
      <x:c r="F12" s="60" t="n">
        <x:f>SUM(F8:F11)</x:f>
        <x:v>69250926</x:v>
      </x:c>
      <x:c r="G12" s="60" t="n">
        <x:f>SUM(G8:G11)</x:f>
        <x:v>69134898.53150687</x:v>
      </x:c>
      <x:c r="H12" s="60" t="n">
        <x:f>SUM(H8:H11)</x:f>
        <x:v>4821148.7625205405</x:v>
      </x:c>
      <x:c r="I12" s="60" t="n">
        <x:f>SUM(I8:I11)</x:f>
        <x:v>3905130.497641634</x:v>
      </x:c>
      <x:c r="J12" s="60" t="n">
        <x:f>SUM(J8:J11)</x:f>
        <x:v>3449531.93958351</x:v>
      </x:c>
      <x:c r="K12" s="83" t="n">
        <x:f>SUM(K8:K11)</x:f>
        <x:v>2897606.829250045</x:v>
      </x:c>
    </x:row>
    <x:row r="13">
      <x:c r="A13" s="91" t="str">
        <x:v>İşletme Faaliyetlerinden Nakit Akışı</x:v>
      </x:c>
      <x:c r="B13" s="92" t="n">
        <x:v>68410200</x:v>
      </x:c>
      <x:c r="C13" s="92" t="n">
        <x:v>32150400</x:v>
      </x:c>
      <x:c r="D13" s="92" t="n">
        <x:v>32708243</x:v>
      </x:c>
      <x:c r="E13" s="92" t="n">
        <x:v>109444800</x:v>
      </x:c>
      <x:c r="F13" s="92" t="n">
        <x:f>F6+F7+F12</x:f>
        <x:v>128251402.44197977</x:v>
      </x:c>
      <x:c r="G13" s="92" t="n">
        <x:f>G6+G7+G12</x:f>
        <x:v>189757947.97348663</x:v>
      </x:c>
      <x:c r="H13" s="92" t="n">
        <x:f>H6+H7+H12</x:f>
        <x:v>132262177.87719686</x:v>
      </x:c>
      <x:c r="I13" s="92" t="n">
        <x:f>I6+I7+I12</x:f>
        <x:v>138992621.35919848</x:v>
      </x:c>
      <x:c r="J13" s="92" t="n">
        <x:f>J6+J7+J12</x:f>
        <x:v>145291397.3442183</x:v>
      </x:c>
      <x:c r="K13" s="92" t="n">
        <x:f>K6+K7+K12</x:f>
        <x:v>150413146.85007027</x:v>
      </x:c>
    </x:row>
    <x:row r="14">
      <x:c r="A14" s="104" t="str">
        <x:v>Yatırım Nakit Akışı</x:v>
      </x:c>
      <x:c r="B14" s="60"/>
      <x:c r="C14" s="60"/>
      <x:c r="D14" s="60"/>
      <x:c r="E14" s="60"/>
      <x:c r="F14" s="60"/>
      <x:c r="G14" s="60"/>
      <x:c r="H14" s="60"/>
      <x:c r="I14" s="60"/>
      <x:c r="J14" s="60"/>
      <x:c r="K14" s="83"/>
    </x:row>
    <x:row r="15">
      <x:c r="A15" s="72" t="str">
        <x:v>CapEx</x:v>
      </x:c>
      <x:c r="B15" s="60" t="n">
        <x:v>-24120300</x:v>
      </x:c>
      <x:c r="C15" s="60" t="n">
        <x:v>-31400200</x:v>
      </x:c>
      <x:c r="D15" s="60" t="n">
        <x:v>-38200100</x:v>
      </x:c>
      <x:c r="E15" s="60" t="n">
        <x:v>-28500400</x:v>
      </x:c>
      <x:c r="F15" s="60" t="n">
        <x:f>-F6*'Varsayımlar'!F16</x:f>
        <x:v>-2048966.1870051294</x:v>
      </x:c>
      <x:c r="G15" s="60" t="n">
        <x:f>-G6*'Varsayımlar'!G16</x:f>
        <x:v>-4210682.526005129</x:v>
      </x:c>
      <x:c r="H15" s="60" t="n">
        <x:f>-H6*'Varsayımlar'!H16</x:f>
        <x:v>-4734541.403275111</x:v>
      </x:c>
      <x:c r="I15" s="60" t="n">
        <x:f>-I6*'Varsayımlar'!I16</x:f>
        <x:v>-5018613.887471615</x:v>
      </x:c>
      <x:c r="J15" s="60" t="n">
        <x:f>-J6*'Varsayımlar'!J16</x:f>
        <x:v>-5269544.581845201</x:v>
      </x:c>
      <x:c r="K15" s="83" t="n">
        <x:f>-K6*'Varsayımlar'!K16</x:f>
        <x:v>-5480326.36511901</x:v>
      </x:c>
    </x:row>
    <x:row r="16">
      <x:c r="A16" s="72" t="str">
        <x:v>Diğer Yatırım Nakit Akışı</x:v>
      </x:c>
      <x:c r="B16" s="60" t="n">
        <x:v>0</x:v>
      </x:c>
      <x:c r="C16" s="60" t="n">
        <x:v>0</x:v>
      </x:c>
      <x:c r="D16" s="60" t="n">
        <x:v>0</x:v>
      </x:c>
      <x:c r="E16" s="60" t="n">
        <x:v>0</x:v>
      </x:c>
      <x:c r="F16" s="60" t="n">
        <x:f>0</x:f>
        <x:v>0</x:v>
      </x:c>
      <x:c r="G16" s="60" t="n">
        <x:f>0</x:f>
        <x:v>0</x:v>
      </x:c>
      <x:c r="H16" s="60" t="n">
        <x:f>0</x:f>
        <x:v>0</x:v>
      </x:c>
      <x:c r="I16" s="60" t="n">
        <x:f>0</x:f>
        <x:v>0</x:v>
      </x:c>
      <x:c r="J16" s="60" t="n">
        <x:f>0</x:f>
        <x:v>0</x:v>
      </x:c>
      <x:c r="K16" s="83" t="n">
        <x:f>0</x:f>
        <x:v>0</x:v>
      </x:c>
    </x:row>
    <x:row r="17">
      <x:c r="A17" s="91" t="str">
        <x:v>Yatırım Faaliyetlerinden Nakit Akışı</x:v>
      </x:c>
      <x:c r="B17" s="92" t="n">
        <x:v>-24120300</x:v>
      </x:c>
      <x:c r="C17" s="92" t="n">
        <x:v>-31400200</x:v>
      </x:c>
      <x:c r="D17" s="92" t="n">
        <x:v>-38200100</x:v>
      </x:c>
      <x:c r="E17" s="92" t="n">
        <x:v>-28500400</x:v>
      </x:c>
      <x:c r="F17" s="92" t="n">
        <x:f>F15+F16</x:f>
        <x:v>-2048966.1870051294</x:v>
      </x:c>
      <x:c r="G17" s="92" t="n">
        <x:f>G15+G16</x:f>
        <x:v>-4210682.526005129</x:v>
      </x:c>
      <x:c r="H17" s="92" t="n">
        <x:f>H15+H16</x:f>
        <x:v>-4734541.403275111</x:v>
      </x:c>
      <x:c r="I17" s="92" t="n">
        <x:f>I15+I16</x:f>
        <x:v>-5018613.887471615</x:v>
      </x:c>
      <x:c r="J17" s="92" t="n">
        <x:f>J15+J16</x:f>
        <x:v>-5269544.581845201</x:v>
      </x:c>
      <x:c r="K17" s="92" t="n">
        <x:f>K15+K16</x:f>
        <x:v>-5480326.36511901</x:v>
      </x:c>
    </x:row>
    <x:row r="18">
      <x:c r="A18" s="104" t="str">
        <x:v>Finansman Nakit Akışı</x:v>
      </x:c>
      <x:c r="B18" s="60"/>
      <x:c r="C18" s="60"/>
      <x:c r="D18" s="60"/>
      <x:c r="E18" s="60"/>
      <x:c r="F18" s="60"/>
      <x:c r="G18" s="60"/>
      <x:c r="H18" s="60"/>
      <x:c r="I18" s="60"/>
      <x:c r="J18" s="60"/>
      <x:c r="K18" s="83"/>
    </x:row>
    <x:row r="19">
      <x:c r="A19" s="72" t="str">
        <x:v>Borçlanma / Borç Ödemeleri (Net)</x:v>
      </x:c>
      <x:c r="B19" s="60" t="n">
        <x:v>5200100</x:v>
      </x:c>
      <x:c r="C19" s="60" t="n">
        <x:v>11400200</x:v>
      </x:c>
      <x:c r="D19" s="60" t="n">
        <x:v>19800100</x:v>
      </x:c>
      <x:c r="E19" s="60" t="n">
        <x:v>38500200</x:v>
      </x:c>
      <x:c r="F19" s="60" t="n">
        <x:f>'Borç Planı'!F19</x:f>
        <x:v>0</x:v>
      </x:c>
      <x:c r="G19" s="60" t="n">
        <x:f>'Borç Planı'!G19</x:f>
        <x:v>0</x:v>
      </x:c>
      <x:c r="H19" s="60" t="n">
        <x:f>'Borç Planı'!H19</x:f>
        <x:v>0</x:v>
      </x:c>
      <x:c r="I19" s="60" t="n">
        <x:f>'Borç Planı'!I19</x:f>
        <x:v>0</x:v>
      </x:c>
      <x:c r="J19" s="60" t="n">
        <x:f>'Borç Planı'!J19</x:f>
        <x:v>0</x:v>
      </x:c>
      <x:c r="K19" s="83" t="n">
        <x:f>'Borç Planı'!K19</x:f>
        <x:v>0</x:v>
      </x:c>
    </x:row>
    <x:row r="20">
      <x:c r="A20" s="72" t="str">
        <x:v>Ödenen Temettü</x:v>
      </x:c>
      <x:c r="B20" s="60" t="n">
        <x:f>-'Gelir Tablosu'!B21*'Varsayımlar'!B17</x:f>
        <x:v>-33723972.786</x:v>
      </x:c>
      <x:c r="C20" s="60" t="n">
        <x:f>-'Gelir Tablosu'!C21*'Varsayımlar'!C17</x:f>
        <x:v>-18500698.08</x:v>
      </x:c>
      <x:c r="D20" s="60" t="n">
        <x:f>-'Gelir Tablosu'!D21*'Varsayımlar'!D17</x:f>
        <x:v>-32172867.744</x:v>
      </x:c>
      <x:c r="E20" s="60" t="n">
        <x:f>-'Gelir Tablosu'!E21*'Varsayımlar'!E17</x:f>
        <x:v>-12266483.412</x:v>
      </x:c>
      <x:c r="F20" s="60" t="n">
        <x:f>-'Gelir Tablosu'!F21*'Varsayımlar'!F17</x:f>
        <x:v>-11626691.85184306</x:v>
      </x:c>
      <x:c r="G20" s="60" t="n">
        <x:f>-'Gelir Tablosu'!G21*'Varsayımlar'!G17</x:f>
        <x:v>-23893175.263843063</x:v>
      </x:c>
      <x:c r="H20" s="60" t="n">
        <x:f>-'Gelir Tablosu'!H21*'Varsayımlar'!H17</x:f>
        <x:v>-25113654.399981022</x:v>
      </x:c>
      <x:c r="I20" s="60" t="n">
        <x:f>-'Gelir Tablosu'!I21*'Varsayımlar'!I17</x:f>
        <x:v>-26620473.663979873</x:v>
      </x:c>
      <x:c r="J20" s="60" t="n">
        <x:f>-'Gelir Tablosu'!J21*'Varsayımlar'!J17</x:f>
        <x:v>-27951497.34717889</x:v>
      </x:c>
      <x:c r="K20" s="83" t="n">
        <x:f>-'Gelir Tablosu'!K21*'Varsayımlar'!K17</x:f>
        <x:v>-29069557.241066057</x:v>
      </x:c>
    </x:row>
    <x:row r="21">
      <x:c r="A21" s="72" t="str">
        <x:v>Diğer Finansman Nakit Akışı</x:v>
      </x:c>
      <x:c r="B21" s="60" t="n">
        <x:v>0</x:v>
      </x:c>
      <x:c r="C21" s="60" t="n">
        <x:v>0</x:v>
      </x:c>
      <x:c r="D21" s="60" t="n">
        <x:v>0</x:v>
      </x:c>
      <x:c r="E21" s="60" t="n">
        <x:v>0</x:v>
      </x:c>
      <x:c r="F21" s="60" t="n">
        <x:f>0</x:f>
        <x:v>0</x:v>
      </x:c>
      <x:c r="G21" s="60" t="n">
        <x:f>0</x:f>
        <x:v>0</x:v>
      </x:c>
      <x:c r="H21" s="60" t="n">
        <x:f>0</x:f>
        <x:v>0</x:v>
      </x:c>
      <x:c r="I21" s="60" t="n">
        <x:f>0</x:f>
        <x:v>0</x:v>
      </x:c>
      <x:c r="J21" s="60" t="n">
        <x:f>0</x:f>
        <x:v>0</x:v>
      </x:c>
      <x:c r="K21" s="83" t="n">
        <x:f>0</x:f>
        <x:v>0</x:v>
      </x:c>
    </x:row>
    <x:row r="22">
      <x:c r="A22" s="91" t="str">
        <x:v>Finansman Faaliyetlerinden Nakit Akışı</x:v>
      </x:c>
      <x:c r="B22" s="92" t="n">
        <x:v>-28500100</x:v>
      </x:c>
      <x:c r="C22" s="92" t="n">
        <x:v>-7110010</x:v>
      </x:c>
      <x:c r="D22" s="92" t="n">
        <x:v>-12380150</x:v>
      </x:c>
      <x:c r="E22" s="92" t="n">
        <x:v>26219750</x:v>
      </x:c>
      <x:c r="F22" s="92" t="n">
        <x:f>F19+F20+F21</x:f>
        <x:v>-11626691.85184306</x:v>
      </x:c>
      <x:c r="G22" s="92" t="n">
        <x:f>G19+G20+G21</x:f>
        <x:v>-23893175.263843063</x:v>
      </x:c>
      <x:c r="H22" s="92" t="n">
        <x:f>H19+H20+H21</x:f>
        <x:v>-25113654.399981022</x:v>
      </x:c>
      <x:c r="I22" s="92" t="n">
        <x:f>I19+I20+I21</x:f>
        <x:v>-26620473.663979873</x:v>
      </x:c>
      <x:c r="J22" s="92" t="n">
        <x:f>J19+J20+J21</x:f>
        <x:v>-27951497.34717889</x:v>
      </x:c>
      <x:c r="K22" s="92" t="n">
        <x:f>K19+K20+K21</x:f>
        <x:v>-29069557.241066057</x:v>
      </x:c>
    </x:row>
    <x:row r="23">
      <x:c r="A23" s="91" t="str">
        <x:v>Serbest Nakit Akışı</x:v>
      </x:c>
      <x:c r="B23" s="92" t="n">
        <x:v>44289900</x:v>
      </x:c>
      <x:c r="C23" s="92" t="n">
        <x:v>750200</x:v>
      </x:c>
      <x:c r="D23" s="92" t="n">
        <x:v>-5491857</x:v>
      </x:c>
      <x:c r="E23" s="92" t="n">
        <x:v>80944400</x:v>
      </x:c>
      <x:c r="F23" s="92" t="n">
        <x:f>F13+F17</x:f>
        <x:v>126202436.25497463</x:v>
      </x:c>
      <x:c r="G23" s="92" t="n">
        <x:f>G13+G17</x:f>
        <x:v>185547265.4474815</x:v>
      </x:c>
      <x:c r="H23" s="92" t="n">
        <x:f>H13+H17</x:f>
        <x:v>127527636.47392175</x:v>
      </x:c>
      <x:c r="I23" s="92" t="n">
        <x:f>I13+I17</x:f>
        <x:v>133974007.47172686</x:v>
      </x:c>
      <x:c r="J23" s="92" t="n">
        <x:f>J13+J17</x:f>
        <x:v>140021852.76237312</x:v>
      </x:c>
      <x:c r="K23" s="92" t="n">
        <x:f>K13+K17</x:f>
        <x:v>144932820.48495126</x:v>
      </x:c>
    </x:row>
    <x:row r="24">
      <x:c r="A24" s="91" t="str">
        <x:v>Net Nakit Değişimi</x:v>
      </x:c>
      <x:c r="B24" s="92" t="n">
        <x:v>15789800</x:v>
      </x:c>
      <x:c r="C24" s="92" t="n">
        <x:v>-6359810</x:v>
      </x:c>
      <x:c r="D24" s="92" t="n">
        <x:v>-17891907</x:v>
      </x:c>
      <x:c r="E24" s="92" t="n">
        <x:v>107164150</x:v>
      </x:c>
      <x:c r="F24" s="92" t="n">
        <x:f>F13+F17+F22</x:f>
        <x:v>114575744.40313157</x:v>
      </x:c>
      <x:c r="G24" s="92" t="n">
        <x:f>G13+G17+G22</x:f>
        <x:v>161654090.18363845</x:v>
      </x:c>
      <x:c r="H24" s="92" t="n">
        <x:f>H13+H17+H22</x:f>
        <x:v>102413982.07394072</x:v>
      </x:c>
      <x:c r="I24" s="92" t="n">
        <x:f>I13+I17+I22</x:f>
        <x:v>107353533.80774699</x:v>
      </x:c>
      <x:c r="J24" s="92" t="n">
        <x:f>J13+J17+J22</x:f>
        <x:v>112070355.41519423</x:v>
      </x:c>
      <x:c r="K24" s="92" t="n">
        <x:f>K13+K17+K22</x:f>
        <x:v>115863263.2438852</x:v>
      </x:c>
    </x:row>
    <x:row r="25">
      <x:c r="A25" s="72" t="str">
        <x:v>Dönem Başı Nakit</x:v>
      </x:c>
      <x:c r="B25" s="60" t="n">
        <x:v>45460310</x:v>
      </x:c>
      <x:c r="C25" s="60" t="n">
        <x:v>61250110</x:v>
      </x:c>
      <x:c r="D25" s="60" t="n">
        <x:v>54890300</x:v>
      </x:c>
      <x:c r="E25" s="60" t="n">
        <x:v>72110450</x:v>
      </x:c>
      <x:c r="F25" s="60" t="n">
        <x:f>E26</x:f>
        <x:v>179274600</x:v>
      </x:c>
      <x:c r="G25" s="60" t="n">
        <x:f>E26+F25</x:f>
        <x:v>358549200</x:v>
      </x:c>
      <x:c r="H25" s="60" t="n">
        <x:f>G26</x:f>
        <x:v>520203290.18363845</x:v>
      </x:c>
      <x:c r="I25" s="60" t="n">
        <x:f>H26</x:f>
        <x:v>622617272.2575792</x:v>
      </x:c>
      <x:c r="J25" s="60" t="n">
        <x:f>I26</x:f>
        <x:v>729970806.0653262</x:v>
      </x:c>
      <x:c r="K25" s="83" t="n">
        <x:f>J26</x:f>
        <x:v>842041161.4805205</x:v>
      </x:c>
    </x:row>
    <x:row r="26">
      <x:c r="A26" s="99" t="str">
        <x:v>Dönem Sonu Nakit</x:v>
      </x:c>
      <x:c r="B26" s="100" t="n">
        <x:v>61250110</x:v>
      </x:c>
      <x:c r="C26" s="100" t="n">
        <x:v>54890300</x:v>
      </x:c>
      <x:c r="D26" s="100" t="n">
        <x:v>72110450</x:v>
      </x:c>
      <x:c r="E26" s="100" t="n">
        <x:v>179274600</x:v>
      </x:c>
      <x:c r="F26" s="100" t="n">
        <x:f>F24+F25</x:f>
        <x:v>293850344.4031316</x:v>
      </x:c>
      <x:c r="G26" s="100" t="n">
        <x:f>G24+G25</x:f>
        <x:v>520203290.18363845</x:v>
      </x:c>
      <x:c r="H26" s="100" t="n">
        <x:f>H24+H25</x:f>
        <x:v>622617272.2575792</x:v>
      </x:c>
      <x:c r="I26" s="100" t="n">
        <x:f>I24+I25</x:f>
        <x:v>729970806.0653262</x:v>
      </x:c>
      <x:c r="J26" s="100" t="n">
        <x:f>J24+J25</x:f>
        <x:v>842041161.4805205</x:v>
      </x:c>
      <x:c r="K26" s="100" t="n">
        <x:f>K24+K25</x:f>
        <x:v>957904424.7244056</x:v>
      </x:c>
    </x:row>
  </x:sheetData>
  <x:mergeCells>
    <x:mergeCell ref="A1:K1"/>
    <x:mergeCell ref="A2:K2"/>
    <x:mergeCell ref="A5:K5"/>
    <x:mergeCell ref="A14:K14"/>
    <x:mergeCell ref="A18:K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5" t="str">
        <x:v>BORÇ PLANI</x:v>
      </x:c>
    </x:row>
    <x:row r="2">
      <x:c r="A2" s="26" t="str">
        <x:v>Eksik entegrasyon alanı görünür hale getirildi; detay borç kırılımı geldikçe güncellenmeli</x:v>
      </x:c>
    </x:row>
    <x:row r="4">
      <x:c r="A4" s="36" t="str">
        <x:v>Kalem</x:v>
      </x:c>
      <x:c r="B4" s="34" t="str">
        <x:v>2023 Gerçekleşen</x:v>
      </x:c>
      <x:c r="C4" s="34" t="str">
        <x:v>2024 Gerçekleşen</x:v>
      </x:c>
      <x:c r="D4" s="34" t="str">
        <x:v>2025 Gerçekleşen</x:v>
      </x:c>
      <x:c r="E4" s="34" t="str">
        <x:v>2026 İlk 6 Ay Gerçekleşen</x:v>
      </x:c>
      <x:c r="F4" s="34" t="str">
        <x:v>2026 İkinci 6 Ay Tahmin</x:v>
      </x:c>
      <x:c r="G4" s="34" t="str">
        <x:v>2026 Yıl Sonu Tahmin</x:v>
      </x:c>
      <x:c r="H4" s="34" t="str">
        <x:v>2027 Tahmin</x:v>
      </x:c>
      <x:c r="I4" s="34" t="str">
        <x:v>2028 Tahmin</x:v>
      </x:c>
      <x:c r="J4" s="34" t="str">
        <x:v>2029 Tahmin</x:v>
      </x:c>
      <x:c r="K4" s="35" t="str">
        <x:v>2030 Tahmin</x:v>
      </x:c>
    </x:row>
    <x:row r="5">
      <x:c r="A5" s="69" t="str">
        <x:v>Kısa Vadeli Borç</x:v>
      </x:c>
      <x:c r="B5" s="81"/>
      <x:c r="C5" s="81"/>
      <x:c r="D5" s="81"/>
      <x:c r="E5" s="81"/>
      <x:c r="F5" s="81"/>
      <x:c r="G5" s="81"/>
      <x:c r="H5" s="81"/>
      <x:c r="I5" s="81"/>
      <x:c r="J5" s="81"/>
      <x:c r="K5" s="82"/>
    </x:row>
    <x:row r="6">
      <x:c r="A6" s="72" t="str">
        <x:v>Dönem Başı Kısa Vadeli Borç</x:v>
      </x:c>
      <x:c r="B6" s="60" t="n">
        <x:v>23200000</x:v>
      </x:c>
      <x:c r="C6" s="60" t="n">
        <x:v>28400100</x:v>
      </x:c>
      <x:c r="D6" s="60" t="n">
        <x:v>22150300</x:v>
      </x:c>
      <x:c r="E6" s="60" t="n">
        <x:v>25800100</x:v>
      </x:c>
      <x:c r="F6" s="60" t="n">
        <x:f>E9</x:f>
        <x:v>58900400</x:v>
      </x:c>
      <x:c r="G6" s="60" t="n">
        <x:f>F9</x:f>
        <x:v>58900400</x:v>
      </x:c>
      <x:c r="H6" s="60" t="n">
        <x:f>G9</x:f>
        <x:v>58900400</x:v>
      </x:c>
      <x:c r="I6" s="60" t="n">
        <x:f>H9</x:f>
        <x:v>58900400</x:v>
      </x:c>
      <x:c r="J6" s="60" t="n">
        <x:f>I9</x:f>
        <x:v>58900400</x:v>
      </x:c>
      <x:c r="K6" s="83" t="n">
        <x:f>J9</x:f>
        <x:v>58900400</x:v>
      </x:c>
    </x:row>
    <x:row r="7">
      <x:c r="A7" s="72" t="str">
        <x:v>Yeni Kısa Vadeli Borçlanma</x:v>
      </x:c>
      <x:c r="B7" s="60" t="n">
        <x:v>12000100</x:v>
      </x:c>
      <x:c r="C7" s="60" t="n">
        <x:v>6400200</x:v>
      </x:c>
      <x:c r="D7" s="60" t="n">
        <x:v>8500100</x:v>
      </x:c>
      <x:c r="E7" s="60" t="n">
        <x:v>38500200</x:v>
      </x:c>
      <x:c r="F7" s="60" t="n">
        <x:f>MAX(0,'Nakit Akış'!F19*0.55)</x:f>
        <x:v>0</x:v>
      </x:c>
      <x:c r="G7" s="60" t="n">
        <x:f>MAX(0,'Nakit Akış'!G19*0.55)</x:f>
        <x:v>0</x:v>
      </x:c>
      <x:c r="H7" s="60" t="n">
        <x:f>MAX(0,'Nakit Akış'!H19*0.55)</x:f>
        <x:v>0</x:v>
      </x:c>
      <x:c r="I7" s="60" t="n">
        <x:f>MAX(0,'Nakit Akış'!I19*0.55)</x:f>
        <x:v>0</x:v>
      </x:c>
      <x:c r="J7" s="60" t="n">
        <x:f>MAX(0,'Nakit Akış'!J19*0.55)</x:f>
        <x:v>0</x:v>
      </x:c>
      <x:c r="K7" s="83" t="n">
        <x:f>MAX(0,'Nakit Akış'!K19*0.55)</x:f>
        <x:v>0</x:v>
      </x:c>
    </x:row>
    <x:row r="8">
      <x:c r="A8" s="72" t="str">
        <x:v>Kısa Vadeli Borç Geri Ödemesi</x:v>
      </x:c>
      <x:c r="B8" s="60" t="n">
        <x:v>-6800000</x:v>
      </x:c>
      <x:c r="C8" s="60" t="n">
        <x:v>-12650000</x:v>
      </x:c>
      <x:c r="D8" s="60" t="n">
        <x:v>-4850300</x:v>
      </x:c>
      <x:c r="E8" s="60" t="n">
        <x:v>-5400000</x:v>
      </x:c>
      <x:c r="F8" s="60" t="n">
        <x:f>0</x:f>
        <x:v>0</x:v>
      </x:c>
      <x:c r="G8" s="60" t="n">
        <x:f>0</x:f>
        <x:v>0</x:v>
      </x:c>
      <x:c r="H8" s="60" t="n">
        <x:f>0</x:f>
        <x:v>0</x:v>
      </x:c>
      <x:c r="I8" s="60" t="n">
        <x:f>0</x:f>
        <x:v>0</x:v>
      </x:c>
      <x:c r="J8" s="60" t="n">
        <x:f>0</x:f>
        <x:v>0</x:v>
      </x:c>
      <x:c r="K8" s="83" t="n">
        <x:f>0</x:f>
        <x:v>0</x:v>
      </x:c>
    </x:row>
    <x:row r="9">
      <x:c r="A9" s="91" t="str">
        <x:v>Dönem Sonu Kısa Vadeli Borç</x:v>
      </x:c>
      <x:c r="B9" s="92" t="n">
        <x:v>28400100</x:v>
      </x:c>
      <x:c r="C9" s="92" t="n">
        <x:v>22150300</x:v>
      </x:c>
      <x:c r="D9" s="92" t="n">
        <x:v>25800100</x:v>
      </x:c>
      <x:c r="E9" s="92" t="n">
        <x:v>58900400</x:v>
      </x:c>
      <x:c r="F9" s="92" t="n">
        <x:f>F6+F7+F8</x:f>
        <x:v>58900400</x:v>
      </x:c>
      <x:c r="G9" s="92" t="n">
        <x:f>G6+G7+G8</x:f>
        <x:v>58900400</x:v>
      </x:c>
      <x:c r="H9" s="92" t="n">
        <x:f>H6+H7+H8</x:f>
        <x:v>58900400</x:v>
      </x:c>
      <x:c r="I9" s="92" t="n">
        <x:f>I6+I7+I8</x:f>
        <x:v>58900400</x:v>
      </x:c>
      <x:c r="J9" s="92" t="n">
        <x:f>J6+J7+J8</x:f>
        <x:v>58900400</x:v>
      </x:c>
      <x:c r="K9" s="92" t="n">
        <x:f>K6+K7+K8</x:f>
        <x:v>58900400</x:v>
      </x:c>
    </x:row>
    <x:row r="10">
      <x:c r="A10" s="104" t="str">
        <x:v>Uzun Vadeli Borç</x:v>
      </x:c>
      <x:c r="B10" s="60"/>
      <x:c r="C10" s="60"/>
      <x:c r="D10" s="60"/>
      <x:c r="E10" s="60"/>
      <x:c r="F10" s="60"/>
      <x:c r="G10" s="60"/>
      <x:c r="H10" s="60"/>
      <x:c r="I10" s="60"/>
      <x:c r="J10" s="60"/>
      <x:c r="K10" s="83"/>
    </x:row>
    <x:row r="11">
      <x:c r="A11" s="72" t="str">
        <x:v>Dönem Başı Uzun Vadeli Borç</x:v>
      </x:c>
      <x:c r="B11" s="60" t="n">
        <x:v>4210000</x:v>
      </x:c>
      <x:c r="C11" s="60" t="n">
        <x:v>5210100</x:v>
      </x:c>
      <x:c r="D11" s="60" t="n">
        <x:v>12800400</x:v>
      </x:c>
      <x:c r="E11" s="60" t="n">
        <x:v>38900200</x:v>
      </x:c>
      <x:c r="F11" s="60" t="n">
        <x:f>E14</x:f>
        <x:v>52400100</x:v>
      </x:c>
      <x:c r="G11" s="60" t="n">
        <x:f>F14</x:f>
        <x:v>52400100</x:v>
      </x:c>
      <x:c r="H11" s="60" t="n">
        <x:f>G14</x:f>
        <x:v>52400100</x:v>
      </x:c>
      <x:c r="I11" s="60" t="n">
        <x:f>H14</x:f>
        <x:v>52400100</x:v>
      </x:c>
      <x:c r="J11" s="60" t="n">
        <x:f>I14</x:f>
        <x:v>52400100</x:v>
      </x:c>
      <x:c r="K11" s="83" t="n">
        <x:f>J14</x:f>
        <x:v>52400100</x:v>
      </x:c>
    </x:row>
    <x:row r="12">
      <x:c r="A12" s="72" t="str">
        <x:v>Yeni Uzun Vadeli Borçlanma</x:v>
      </x:c>
      <x:c r="B12" s="60" t="n">
        <x:v>2500000</x:v>
      </x:c>
      <x:c r="C12" s="60" t="n">
        <x:v>9700000</x:v>
      </x:c>
      <x:c r="D12" s="60" t="n">
        <x:v>28100100</x:v>
      </x:c>
      <x:c r="E12" s="60" t="n">
        <x:v>11800000</x:v>
      </x:c>
      <x:c r="F12" s="60" t="n">
        <x:f>MAX(0,'Nakit Akış'!F19*0.45)</x:f>
        <x:v>0</x:v>
      </x:c>
      <x:c r="G12" s="60" t="n">
        <x:f>MAX(0,'Nakit Akış'!G19*0.45)</x:f>
        <x:v>0</x:v>
      </x:c>
      <x:c r="H12" s="60" t="n">
        <x:f>MAX(0,'Nakit Akış'!H19*0.45)</x:f>
        <x:v>0</x:v>
      </x:c>
      <x:c r="I12" s="60" t="n">
        <x:f>MAX(0,'Nakit Akış'!I19*0.45)</x:f>
        <x:v>0</x:v>
      </x:c>
      <x:c r="J12" s="60" t="n">
        <x:f>MAX(0,'Nakit Akış'!J19*0.45)</x:f>
        <x:v>0</x:v>
      </x:c>
      <x:c r="K12" s="83" t="n">
        <x:f>MAX(0,'Nakit Akış'!K19*0.45)</x:f>
        <x:v>0</x:v>
      </x:c>
    </x:row>
    <x:row r="13">
      <x:c r="A13" s="72" t="str">
        <x:v>Uzun Vadeli Borç Geri Ödemesi</x:v>
      </x:c>
      <x:c r="B13" s="60" t="n">
        <x:v>-1500000</x:v>
      </x:c>
      <x:c r="C13" s="60" t="n">
        <x:v>-2119800</x:v>
      </x:c>
      <x:c r="D13" s="60" t="n">
        <x:v>-200300</x:v>
      </x:c>
      <x:c r="E13" s="60" t="n">
        <x:v>0</x:v>
      </x:c>
      <x:c r="F13" s="60" t="n">
        <x:f>0</x:f>
        <x:v>0</x:v>
      </x:c>
      <x:c r="G13" s="60" t="n">
        <x:f>0</x:f>
        <x:v>0</x:v>
      </x:c>
      <x:c r="H13" s="60" t="n">
        <x:f>0</x:f>
        <x:v>0</x:v>
      </x:c>
      <x:c r="I13" s="60" t="n">
        <x:f>0</x:f>
        <x:v>0</x:v>
      </x:c>
      <x:c r="J13" s="60" t="n">
        <x:f>0</x:f>
        <x:v>0</x:v>
      </x:c>
      <x:c r="K13" s="83" t="n">
        <x:f>0</x:f>
        <x:v>0</x:v>
      </x:c>
    </x:row>
    <x:row r="14">
      <x:c r="A14" s="91" t="str">
        <x:v>Dönem Sonu Uzun Vadeli Borç</x:v>
      </x:c>
      <x:c r="B14" s="92" t="n">
        <x:v>5210100</x:v>
      </x:c>
      <x:c r="C14" s="92" t="n">
        <x:v>12800400</x:v>
      </x:c>
      <x:c r="D14" s="92" t="n">
        <x:v>38900200</x:v>
      </x:c>
      <x:c r="E14" s="92" t="n">
        <x:v>52400100</x:v>
      </x:c>
      <x:c r="F14" s="92" t="n">
        <x:f>F11+F12+F13</x:f>
        <x:v>52400100</x:v>
      </x:c>
      <x:c r="G14" s="92" t="n">
        <x:f>G11+G12+G13</x:f>
        <x:v>52400100</x:v>
      </x:c>
      <x:c r="H14" s="92" t="n">
        <x:f>H11+H12+H13</x:f>
        <x:v>52400100</x:v>
      </x:c>
      <x:c r="I14" s="92" t="n">
        <x:f>I11+I12+I13</x:f>
        <x:v>52400100</x:v>
      </x:c>
      <x:c r="J14" s="92" t="n">
        <x:f>J11+J12+J13</x:f>
        <x:v>52400100</x:v>
      </x:c>
      <x:c r="K14" s="92" t="n">
        <x:f>K11+K12+K13</x:f>
        <x:v>52400100</x:v>
      </x:c>
    </x:row>
    <x:row r="15">
      <x:c r="A15" s="104" t="str">
        <x:v>Toplam Borç</x:v>
      </x:c>
      <x:c r="B15" s="60"/>
      <x:c r="C15" s="60"/>
      <x:c r="D15" s="60"/>
      <x:c r="E15" s="60"/>
      <x:c r="F15" s="60"/>
      <x:c r="G15" s="60"/>
      <x:c r="H15" s="60"/>
      <x:c r="I15" s="60"/>
      <x:c r="J15" s="60"/>
      <x:c r="K15" s="83"/>
    </x:row>
    <x:row r="16">
      <x:c r="A16" s="91" t="str">
        <x:v>Dönem Sonu Toplam Borç</x:v>
      </x:c>
      <x:c r="B16" s="92" t="n">
        <x:v>33610200</x:v>
      </x:c>
      <x:c r="C16" s="92" t="n">
        <x:v>34950700</x:v>
      </x:c>
      <x:c r="D16" s="92" t="n">
        <x:v>64700300</x:v>
      </x:c>
      <x:c r="E16" s="92" t="n">
        <x:v>111300500</x:v>
      </x:c>
      <x:c r="F16" s="92" t="n">
        <x:f>F9+F14</x:f>
        <x:v>111300500</x:v>
      </x:c>
      <x:c r="G16" s="92" t="n">
        <x:f>G9+G14</x:f>
        <x:v>111300500</x:v>
      </x:c>
      <x:c r="H16" s="92" t="n">
        <x:f>H9+H14</x:f>
        <x:v>111300500</x:v>
      </x:c>
      <x:c r="I16" s="92" t="n">
        <x:f>I9+I14</x:f>
        <x:v>111300500</x:v>
      </x:c>
      <x:c r="J16" s="92" t="n">
        <x:f>J9+J14</x:f>
        <x:v>111300500</x:v>
      </x:c>
      <x:c r="K16" s="92" t="n">
        <x:f>K9+K14</x:f>
        <x:v>111300500</x:v>
      </x:c>
    </x:row>
    <x:row r="17">
      <x:c r="A17" s="91" t="str">
        <x:v>Net Borç / (Nakit)</x:v>
      </x:c>
      <x:c r="B17" s="92" t="n">
        <x:v>-27639910</x:v>
      </x:c>
      <x:c r="C17" s="92" t="n">
        <x:v>-19939600</x:v>
      </x:c>
      <x:c r="D17" s="92" t="n">
        <x:v>-7410150</x:v>
      </x:c>
      <x:c r="E17" s="92" t="n">
        <x:v>-33929600</x:v>
      </x:c>
      <x:c r="F17" s="92" t="n">
        <x:f>F16-'Bilanço'!F6</x:f>
        <x:v>-182549844.4031316</x:v>
      </x:c>
      <x:c r="G17" s="92" t="n">
        <x:f>G16-'Bilanço'!G6</x:f>
        <x:v>-408902790.18363845</x:v>
      </x:c>
      <x:c r="H17" s="92" t="n">
        <x:f>H16-'Bilanço'!H6</x:f>
        <x:v>-511316772.2575792</x:v>
      </x:c>
      <x:c r="I17" s="92" t="n">
        <x:f>I16-'Bilanço'!I6</x:f>
        <x:v>-618670306.0653262</x:v>
      </x:c>
      <x:c r="J17" s="92" t="n">
        <x:f>J16-'Bilanço'!J6</x:f>
        <x:v>-730740661.4805205</x:v>
      </x:c>
      <x:c r="K17" s="92" t="n">
        <x:f>K16-'Bilanço'!K6</x:f>
        <x:v>-846603924.7244056</x:v>
      </x:c>
    </x:row>
    <x:row r="18">
      <x:c r="A18" s="91" t="str">
        <x:v>Net Borç / FAVÖK</x:v>
      </x:c>
      <x:c r="B18" s="111" t="n">
        <x:v>0</x:v>
      </x:c>
      <x:c r="C18" s="111" t="n">
        <x:v>0</x:v>
      </x:c>
      <x:c r="D18" s="111" t="n">
        <x:v>0</x:v>
      </x:c>
      <x:c r="E18" s="111" t="n">
        <x:v>0</x:v>
      </x:c>
      <x:c r="F18" s="111" t="n">
        <x:f>F17/'Gelir Tablosu'!F13</x:f>
        <x:v>-2.5939460331892885</x:v>
      </x:c>
      <x:c r="G18" s="111" t="n">
        <x:f>G17/'Gelir Tablosu'!G13</x:f>
        <x:v>-2.905156599899806</x:v>
      </x:c>
      <x:c r="H18" s="111" t="n">
        <x:f>H17/'Gelir Tablosu'!H13</x:f>
        <x:v>-3.363688394859247</x:v>
      </x:c>
      <x:c r="I18" s="111" t="n">
        <x:f>I17/'Gelir Tablosu'!I13</x:f>
        <x:v>-3.839539367184848</x:v>
      </x:c>
      <x:c r="J18" s="111" t="n">
        <x:f>J17/'Gelir Tablosu'!J13</x:f>
        <x:v>-4.319105652805517</x:v>
      </x:c>
      <x:c r="K18" s="111" t="n">
        <x:f>K17/'Gelir Tablosu'!K13</x:f>
        <x:v>-4.81146678362569</x:v>
      </x:c>
    </x:row>
    <x:row r="19">
      <x:c r="A19" s="91" t="str">
        <x:v>Net Borç Hareketi</x:v>
      </x:c>
      <x:c r="B19" s="92" t="n">
        <x:v>5200100</x:v>
      </x:c>
      <x:c r="C19" s="92" t="n">
        <x:v>11400200</x:v>
      </x:c>
      <x:c r="D19" s="92" t="n">
        <x:v>19800100</x:v>
      </x:c>
      <x:c r="E19" s="92" t="n">
        <x:v>38500200</x:v>
      </x:c>
      <x:c r="F19" s="92">
        <x:f>F16-E16</x:f>
      </x:c>
      <x:c r="G19" s="92">
        <x:f>G16-F16</x:f>
      </x:c>
      <x:c r="H19" s="92">
        <x:f>H16-G16</x:f>
      </x:c>
      <x:c r="I19" s="92">
        <x:f>I16-H16</x:f>
      </x:c>
      <x:c r="J19" s="92">
        <x:f>J16-I16</x:f>
      </x:c>
      <x:c r="K19" s="92">
        <x:f>K16-J16</x:f>
      </x:c>
    </x:row>
    <x:row r="20">
      <x:c r="A20" s="75"/>
      <x:c r="B20" s="62"/>
      <x:c r="C20" s="62"/>
      <x:c r="D20" s="62"/>
      <x:c r="E20" s="62"/>
      <x:c r="F20" s="62"/>
      <x:c r="G20" s="62"/>
      <x:c r="H20" s="62"/>
      <x:c r="I20" s="62"/>
      <x:c r="J20" s="62"/>
      <x:c r="K20" s="84"/>
    </x:row>
  </x:sheetData>
  <x:mergeCells>
    <x:mergeCell ref="A1:K1"/>
    <x:mergeCell ref="A2:K2"/>
    <x:mergeCell ref="A5:K5"/>
    <x:mergeCell ref="A10:K10"/>
    <x:mergeCell ref="A15:K15"/>
  </x:mergeCells>
  <x:pageMargins left="0.7" right="0.7" top="0.75" bottom="0.75" header="0.3" footer="0.3"/>
  <x:legacyDrawing xmlns:r="http://schemas.openxmlformats.org/officeDocument/2006/relationships" r:id="Ra18f2da2ef354b2c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5" t="str">
        <x:v>ÖZKAYNAK HAREKETİ</x:v>
      </x:c>
    </x:row>
    <x:row r="2">
      <x:c r="A2" s="26" t="str">
        <x:v>Net kâr ve temettü bağlantıları ayrı gösterildi</x:v>
      </x:c>
    </x:row>
    <x:row r="4">
      <x:c r="A4" s="36" t="str">
        <x:v>Kalem</x:v>
      </x:c>
      <x:c r="B4" s="34" t="str">
        <x:v>2023 Gerçekleşen</x:v>
      </x:c>
      <x:c r="C4" s="34" t="str">
        <x:v>2024 Gerçekleşen</x:v>
      </x:c>
      <x:c r="D4" s="34" t="str">
        <x:v>2025 Gerçekleşen</x:v>
      </x:c>
      <x:c r="E4" s="34" t="str">
        <x:v>2026 İlk 6 Ay Gerçekleşen</x:v>
      </x:c>
      <x:c r="F4" s="34" t="str">
        <x:v>2026 İkinci 6 Ay Tahmin</x:v>
      </x:c>
      <x:c r="G4" s="34" t="str">
        <x:v>2026 Yıl Sonu Tahmin</x:v>
      </x:c>
      <x:c r="H4" s="34" t="str">
        <x:v>2027 Tahmin</x:v>
      </x:c>
      <x:c r="I4" s="34" t="str">
        <x:v>2028 Tahmin</x:v>
      </x:c>
      <x:c r="J4" s="34" t="str">
        <x:v>2029 Tahmin</x:v>
      </x:c>
      <x:c r="K4" s="35" t="str">
        <x:v>2030 Tahmin</x:v>
      </x:c>
    </x:row>
    <x:row r="5">
      <x:c r="A5" s="69" t="str">
        <x:v>Özkaynak Hareketi</x:v>
      </x:c>
      <x:c r="B5" s="81"/>
      <x:c r="C5" s="81"/>
      <x:c r="D5" s="81"/>
      <x:c r="E5" s="81"/>
      <x:c r="F5" s="81"/>
      <x:c r="G5" s="81"/>
      <x:c r="H5" s="81"/>
      <x:c r="I5" s="81"/>
      <x:c r="J5" s="81"/>
      <x:c r="K5" s="82"/>
    </x:row>
    <x:row r="6">
      <x:c r="A6" s="72" t="str">
        <x:v>Dönem Başı Ana Ortaklık Özkaynakları</x:v>
      </x:c>
      <x:c r="B6" s="60" t="n">
        <x:f>147185917</x:f>
        <x:v>147185917</x:v>
      </x:c>
      <x:c r="C6" s="60" t="n">
        <x:f>B10</x:f>
        <x:v>200763253</x:v>
      </x:c>
      <x:c r="D6" s="60" t="n">
        <x:f>C10</x:f>
        <x:v>282215289</x:v>
      </x:c>
      <x:c r="E6" s="60" t="n">
        <x:f>D10</x:f>
        <x:v>364099258</x:v>
      </x:c>
      <x:c r="F6" s="60" t="n">
        <x:f>E10</x:f>
        <x:v>456139125</x:v>
      </x:c>
      <x:c r="G6" s="60" t="n">
        <x:f>F10</x:f>
        <x:v>526207309.59013677</x:v>
      </x:c>
      <x:c r="H6" s="60" t="n">
        <x:f>G10</x:f>
        <x:v>734186765.3651419</x:v>
      </x:c>
      <x:c r="I6" s="60" t="n">
        <x:f>H10</x:f>
        <x:v>816097010.9598372</x:v>
      </x:c>
      <x:c r="J6" s="60" t="n">
        <x:f>I10</x:f>
        <x:v>901897099.5702143</x:v>
      </x:c>
      <x:c r="K6" s="83" t="n">
        <x:f>J10</x:f>
        <x:v>991433815.8823102</x:v>
      </x:c>
    </x:row>
    <x:row r="7">
      <x:c r="A7" s="72" t="str">
        <x:v>Ana Ortaklık Net Kârı</x:v>
      </x:c>
      <x:c r="B7" s="60" t="n">
        <x:f>'Gelir Tablosu'!B24</x:f>
        <x:v>53577336</x:v>
      </x:c>
      <x:c r="C7" s="60" t="n">
        <x:f>'Gelir Tablosu'!C24</x:f>
        <x:v>18315157</x:v>
      </x:c>
      <x:c r="D7" s="60" t="n">
        <x:f>'Gelir Tablosu'!D24</x:f>
        <x:v>29523183</x:v>
      </x:c>
      <x:c r="E7" s="60" t="n">
        <x:f>'Gelir Tablosu'!E24</x:f>
        <x:v>49847684</x:v>
      </x:c>
      <x:c r="F7" s="60" t="n">
        <x:f>'Gelir Tablosu'!F24</x:f>
        <x:v>47225587.44197976</x:v>
      </x:c>
      <x:c r="G7" s="60" t="n">
        <x:f>'Gelir Tablosu'!G24</x:f>
        <x:v>97073271.44197977</x:v>
      </x:c>
      <x:c r="H7" s="60" t="n">
        <x:f>'Gelir Tablosu'!H24</x:f>
        <x:v>102007268.87467633</x:v>
      </x:c>
      <x:c r="I7" s="60" t="n">
        <x:f>'Gelir Tablosu'!I24</x:f>
        <x:v>108127705.00715686</x:v>
      </x:c>
      <x:c r="J7" s="60" t="n">
        <x:f>'Gelir Tablosu'!J24</x:f>
        <x:v>113534090.25751479</x:v>
      </x:c>
      <x:c r="K7" s="83" t="n">
        <x:f>'Gelir Tablosu'!K24</x:f>
        <x:v>118075453.86781543</x:v>
      </x:c>
    </x:row>
    <x:row r="8">
      <x:c r="A8" s="72" t="str">
        <x:v>Ödenen Temettü</x:v>
      </x:c>
      <x:c r="B8" s="60" t="n">
        <x:f>'Nakit Akış'!B20</x:f>
        <x:v>-33723972.786</x:v>
      </x:c>
      <x:c r="C8" s="60" t="n">
        <x:f>'Nakit Akış'!C20</x:f>
        <x:v>-18500698.08</x:v>
      </x:c>
      <x:c r="D8" s="60" t="n">
        <x:f>'Nakit Akış'!D20</x:f>
        <x:v>-32172867.744</x:v>
      </x:c>
      <x:c r="E8" s="60" t="n">
        <x:f>'Nakit Akış'!E20</x:f>
        <x:v>-12266483.412</x:v>
      </x:c>
      <x:c r="F8" s="60" t="n">
        <x:f>'Nakit Akış'!F20</x:f>
        <x:v>-11626691.85184306</x:v>
      </x:c>
      <x:c r="G8" s="60" t="n">
        <x:f>'Nakit Akış'!G20</x:f>
        <x:v>-23893175.263843063</x:v>
      </x:c>
      <x:c r="H8" s="60" t="n">
        <x:f>'Nakit Akış'!H20</x:f>
        <x:v>-25113654.399981022</x:v>
      </x:c>
      <x:c r="I8" s="60" t="n">
        <x:f>'Nakit Akış'!I20</x:f>
        <x:v>-26620473.663979873</x:v>
      </x:c>
      <x:c r="J8" s="60" t="n">
        <x:f>'Nakit Akış'!J20</x:f>
        <x:v>-27951497.34717889</x:v>
      </x:c>
      <x:c r="K8" s="83" t="n">
        <x:f>'Nakit Akış'!K20</x:f>
        <x:v>-29069557.241066057</x:v>
      </x:c>
    </x:row>
    <x:row r="9">
      <x:c r="A9" s="72" t="str">
        <x:v>Diğer Kapsamlı Gelir / Diğer Hareketler</x:v>
      </x:c>
      <x:c r="B9" s="60" t="n">
        <x:f>B10-B6-B7-B8</x:f>
        <x:v>33723972.786</x:v>
      </x:c>
      <x:c r="C9" s="60" t="n">
        <x:f>C10-C6-C7-C8</x:f>
        <x:v>81637577.08</x:v>
      </x:c>
      <x:c r="D9" s="60" t="n">
        <x:f>D10-D6-D7-D8</x:f>
        <x:v>84533653.744</x:v>
      </x:c>
      <x:c r="E9" s="60" t="n">
        <x:f>E10-E6-E7-E8</x:f>
        <x:v>54458666.412</x:v>
      </x:c>
      <x:c r="F9" s="60" t="n">
        <x:f>F10-F6-F7-F8</x:f>
        <x:v>34469289.00000007</x:v>
      </x:c>
      <x:c r="G9" s="60" t="n">
        <x:f>G10-G6-G7-G8</x:f>
        <x:v>134799359.5968684</x:v>
      </x:c>
      <x:c r="H9" s="60" t="n">
        <x:f>H10-H6-H7-H8</x:f>
        <x:v>5016631.12000002</x:v>
      </x:c>
      <x:c r="I9" s="60" t="n">
        <x:f>I10-I6-I7-I8</x:f>
        <x:v>4292857.267200083</x:v>
      </x:c>
      <x:c r="J9" s="60" t="n">
        <x:f>J10-J6-J7-J8</x:f>
        <x:v>3954123.401759982</x:v>
      </x:c>
      <x:c r="K9" s="83" t="n">
        <x:f>K10-K6-K7-K8</x:f>
        <x:v>3525709.005302567</x:v>
      </x:c>
    </x:row>
    <x:row r="10">
      <x:c r="A10" s="91" t="str">
        <x:v>Dönem Sonu Ana Ortaklık Özkaynakları</x:v>
      </x:c>
      <x:c r="B10" s="92" t="n">
        <x:f>'Bilanço'!B29</x:f>
        <x:v>200763253</x:v>
      </x:c>
      <x:c r="C10" s="92" t="n">
        <x:f>'Bilanço'!C29</x:f>
        <x:v>282215289</x:v>
      </x:c>
      <x:c r="D10" s="92" t="n">
        <x:f>'Bilanço'!D29</x:f>
        <x:v>364099258</x:v>
      </x:c>
      <x:c r="E10" s="92" t="n">
        <x:f>'Bilanço'!E29</x:f>
        <x:v>456139125</x:v>
      </x:c>
      <x:c r="F10" s="92" t="n">
        <x:f>'Bilanço'!F29</x:f>
        <x:v>526207309.59013677</x:v>
      </x:c>
      <x:c r="G10" s="92" t="n">
        <x:f>'Bilanço'!G29</x:f>
        <x:v>734186765.3651419</x:v>
      </x:c>
      <x:c r="H10" s="92" t="n">
        <x:f>'Bilanço'!H29</x:f>
        <x:v>816097010.9598372</x:v>
      </x:c>
      <x:c r="I10" s="92" t="n">
        <x:f>'Bilanço'!I29</x:f>
        <x:v>901897099.5702143</x:v>
      </x:c>
      <x:c r="J10" s="92" t="n">
        <x:f>'Bilanço'!J29</x:f>
        <x:v>991433815.8823102</x:v>
      </x:c>
      <x:c r="K10" s="92" t="n">
        <x:f>'Bilanço'!K29</x:f>
        <x:v>1083965421.514362</x:v>
      </x:c>
    </x:row>
    <x:row r="11">
      <x:c r="A11" s="72" t="str">
        <x:v>Kontrol Gücü Olmayan Paylar</x:v>
      </x:c>
      <x:c r="B11" s="60" t="n">
        <x:f>'Bilanço'!B30</x:f>
        <x:v>2177514</x:v>
      </x:c>
      <x:c r="C11" s="60" t="n">
        <x:f>'Bilanço'!C30</x:f>
        <x:v>4032432</x:v>
      </x:c>
      <x:c r="D11" s="60" t="n">
        <x:f>'Bilanço'!D30</x:f>
        <x:v>5728736</x:v>
      </x:c>
      <x:c r="E11" s="60" t="n">
        <x:f>'Bilanço'!E30</x:f>
        <x:v>7167656</x:v>
      </x:c>
      <x:c r="F11" s="60" t="n">
        <x:f>'Bilanço'!F30</x:f>
        <x:v>7167656</x:v>
      </x:c>
      <x:c r="G11" s="60" t="n">
        <x:f>'Bilanço'!G30</x:f>
        <x:v>7167656</x:v>
      </x:c>
      <x:c r="H11" s="60" t="n">
        <x:f>'Bilanço'!H30</x:f>
        <x:v>7741068.48</x:v>
      </x:c>
      <x:c r="I11" s="60" t="n">
        <x:f>'Bilanço'!I30</x:f>
        <x:v>8205532.588800001</x:v>
      </x:c>
      <x:c r="J11" s="60" t="n">
        <x:f>'Bilanço'!J30</x:f>
        <x:v>8615809.218240002</x:v>
      </x:c>
      <x:c r="K11" s="83" t="n">
        <x:f>'Bilanço'!K30</x:f>
        <x:v>8960441.586969603</x:v>
      </x:c>
    </x:row>
    <x:row r="12">
      <x:c r="A12" s="91" t="str">
        <x:v>Toplam Özkaynak</x:v>
      </x:c>
      <x:c r="B12" s="92" t="n">
        <x:f>B10+B11</x:f>
        <x:v>202940767</x:v>
      </x:c>
      <x:c r="C12" s="92" t="n">
        <x:f>C10+C11</x:f>
        <x:v>286247721</x:v>
      </x:c>
      <x:c r="D12" s="92" t="n">
        <x:f>D10+D11</x:f>
        <x:v>369827994</x:v>
      </x:c>
      <x:c r="E12" s="92" t="n">
        <x:f>E10+E11</x:f>
        <x:v>463306781</x:v>
      </x:c>
      <x:c r="F12" s="92" t="n">
        <x:f>F10+F11</x:f>
        <x:v>533374965.59013677</x:v>
      </x:c>
      <x:c r="G12" s="92" t="n">
        <x:f>G10+G11</x:f>
        <x:v>741354421.3651419</x:v>
      </x:c>
      <x:c r="H12" s="92" t="n">
        <x:f>H10+H11</x:f>
        <x:v>823838079.4398372</x:v>
      </x:c>
      <x:c r="I12" s="92" t="n">
        <x:f>I10+I11</x:f>
        <x:v>910102632.1590142</x:v>
      </x:c>
      <x:c r="J12" s="92" t="n">
        <x:f>J10+J11</x:f>
        <x:v>1000049625.1005502</x:v>
      </x:c>
      <x:c r="K12" s="92" t="n">
        <x:f>K10+K11</x:f>
        <x:v>1092925863.1013317</x:v>
      </x:c>
    </x:row>
    <x:row r="13">
      <x:c r="A13" s="91" t="str">
        <x:v>Kontrol: Bilanço Özkaynak Farkı</x:v>
      </x:c>
      <x:c r="B13" s="92" t="n">
        <x:f>B12-'Bilanço'!B31</x:f>
        <x:v>0</x:v>
      </x:c>
      <x:c r="C13" s="92" t="n">
        <x:f>C12-'Bilanço'!C31</x:f>
        <x:v>0</x:v>
      </x:c>
      <x:c r="D13" s="92" t="n">
        <x:f>D12-'Bilanço'!D31</x:f>
        <x:v>0</x:v>
      </x:c>
      <x:c r="E13" s="92" t="n">
        <x:f>E12-'Bilanço'!E31</x:f>
        <x:v>0</x:v>
      </x:c>
      <x:c r="F13" s="92" t="n">
        <x:f>F12-'Bilanço'!F31</x:f>
        <x:v>0</x:v>
      </x:c>
      <x:c r="G13" s="92" t="n">
        <x:f>G12-'Bilanço'!G31</x:f>
        <x:v>0</x:v>
      </x:c>
      <x:c r="H13" s="92" t="n">
        <x:f>H12-'Bilanço'!H31</x:f>
        <x:v>0</x:v>
      </x:c>
      <x:c r="I13" s="92" t="n">
        <x:f>I12-'Bilanço'!I31</x:f>
        <x:v>0</x:v>
      </x:c>
      <x:c r="J13" s="92" t="n">
        <x:f>J12-'Bilanço'!J31</x:f>
        <x:v>0</x:v>
      </x:c>
      <x:c r="K13" s="92" t="n">
        <x:f>K12-'Bilanço'!K31</x:f>
        <x:v>0</x:v>
      </x:c>
    </x:row>
    <x:row r="14">
      <x:c r="A14" s="75" t="str">
        <x:v>Eksik Entegrasyon Notu</x:v>
      </x:c>
      <x:c r="B14" s="62" t="str">
        <x:v>Diğer hareketler dengeleyici satır</x:v>
      </x:c>
      <x:c r="C14" s="62" t="str">
        <x:v>Diğer hareketler dengeleyici satır</x:v>
      </x:c>
      <x:c r="D14" s="62" t="str">
        <x:v>Diğer hareketler dengeleyici satır</x:v>
      </x:c>
      <x:c r="E14" s="62" t="str">
        <x:v>Diğer hareketler dengeleyici satır</x:v>
      </x:c>
      <x:c r="F14" s="62" t="str">
        <x:v>Diğer hareketler dengeleyici satır</x:v>
      </x:c>
      <x:c r="G14" s="62" t="str">
        <x:v>Diğer hareketler dengeleyici satır</x:v>
      </x:c>
      <x:c r="H14" s="62" t="str">
        <x:v>Diğer hareketler dengeleyici satır</x:v>
      </x:c>
      <x:c r="I14" s="62" t="str">
        <x:v>Diğer hareketler dengeleyici satır</x:v>
      </x:c>
      <x:c r="J14" s="62" t="str">
        <x:v>Diğer hareketler dengeleyici satır</x:v>
      </x:c>
      <x:c r="K14" s="84" t="str">
        <x:v>Diğer hareketler dengeleyici satır</x:v>
      </x:c>
    </x:row>
  </x:sheetData>
  <x:mergeCells>
    <x:mergeCell ref="A1:K1"/>
    <x:mergeCell ref="A2:K2"/>
    <x:mergeCell ref="A5:K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5" t="str">
        <x:v>DCF DEĞERLEME</x:v>
      </x:c>
    </x:row>
    <x:row r="2">
      <x:c r="A2" s="26" t="str">
        <x:v>Basitleştirilmiş DCF; net borç ve pay sayısı güncel piyasa verisiyle güncellenmeli</x:v>
      </x:c>
    </x:row>
    <x:row r="4">
      <x:c r="A4" s="36" t="str">
        <x:v>Kalem</x:v>
      </x:c>
      <x:c r="B4" s="34" t="str">
        <x:v>2023 Gerçekleşen</x:v>
      </x:c>
      <x:c r="C4" s="34" t="str">
        <x:v>2024 Gerçekleşen</x:v>
      </x:c>
      <x:c r="D4" s="34" t="str">
        <x:v>2025 Gerçekleşen</x:v>
      </x:c>
      <x:c r="E4" s="34" t="str">
        <x:v>2026 İlk 6 Ay Gerçekleşen</x:v>
      </x:c>
      <x:c r="F4" s="34" t="str">
        <x:v>2026 İkinci 6 Ay Tahmin</x:v>
      </x:c>
      <x:c r="G4" s="34" t="str">
        <x:v>2026 Yıl Sonu Tahmin</x:v>
      </x:c>
      <x:c r="H4" s="34" t="str">
        <x:v>2027 Tahmin</x:v>
      </x:c>
      <x:c r="I4" s="34" t="str">
        <x:v>2028 Tahmin</x:v>
      </x:c>
      <x:c r="J4" s="34" t="str">
        <x:v>2029 Tahmin</x:v>
      </x:c>
      <x:c r="K4" s="35" t="str">
        <x:v>2030 Tahmin</x:v>
      </x:c>
    </x:row>
    <x:row r="5">
      <x:c r="A5" s="69" t="str">
        <x:v>DCF Değerleme</x:v>
      </x:c>
      <x:c r="B5" s="81"/>
      <x:c r="C5" s="81"/>
      <x:c r="D5" s="81"/>
      <x:c r="E5" s="81"/>
      <x:c r="F5" s="81"/>
      <x:c r="G5" s="81"/>
      <x:c r="H5" s="81"/>
      <x:c r="I5" s="81"/>
      <x:c r="J5" s="81"/>
      <x:c r="K5" s="82"/>
    </x:row>
    <x:row r="6">
      <x:c r="A6" s="72" t="str">
        <x:v>Hasılat</x:v>
      </x:c>
      <x:c r="B6" s="60" t="n">
        <x:f>'Gelir Tablosu'!B6</x:f>
        <x:v>686528507</x:v>
      </x:c>
      <x:c r="C6" s="60" t="n">
        <x:f>'Gelir Tablosu'!C6</x:f>
        <x:v>810385588</x:v>
      </x:c>
      <x:c r="D6" s="60" t="n">
        <x:f>'Gelir Tablosu'!D6</x:f>
        <x:v>830356131</x:v>
      </x:c>
      <x:c r="E6" s="60" t="n">
        <x:f>'Gelir Tablosu'!E6</x:f>
        <x:v>662788010</x:v>
      </x:c>
      <x:c r="F6" s="60" t="n">
        <x:f>'Gelir Tablosu'!F6</x:f>
        <x:v>662788010</x:v>
      </x:c>
      <x:c r="G6" s="60" t="n">
        <x:f>'Gelir Tablosu'!G6</x:f>
        <x:v>1325576020</x:v>
      </x:c>
      <x:c r="H6" s="60" t="n">
        <x:f>'Gelir Tablosu'!H6</x:f>
        <x:v>1431622101.6000001</x:v>
      </x:c>
      <x:c r="I6" s="60" t="n">
        <x:f>'Gelir Tablosu'!I6</x:f>
        <x:v>1517519427.6960003</x:v>
      </x:c>
      <x:c r="J6" s="60" t="n">
        <x:f>'Gelir Tablosu'!J6</x:f>
        <x:v>1593395399.0808005</x:v>
      </x:c>
      <x:c r="K6" s="83" t="n">
        <x:f>'Gelir Tablosu'!K6</x:f>
        <x:v>1657131215.0440326</x:v>
      </x:c>
    </x:row>
    <x:row r="7">
      <x:c r="A7" s="72" t="str">
        <x:v>FAVÖK</x:v>
      </x:c>
      <x:c r="B7" s="60" t="n">
        <x:f>'Gelir Tablosu'!B13</x:f>
        <x:v>86077974</x:v>
      </x:c>
      <x:c r="C7" s="60" t="n">
        <x:f>'Gelir Tablosu'!C13</x:f>
        <x:v>51510266</x:v>
      </x:c>
      <x:c r="D7" s="60" t="n">
        <x:f>'Gelir Tablosu'!D13</x:f>
        <x:v>60847297</x:v>
      </x:c>
      <x:c r="E7" s="60" t="n">
        <x:f>'Gelir Tablosu'!E13</x:f>
        <x:v>70375344</x:v>
      </x:c>
      <x:c r="F7" s="60" t="n">
        <x:f>'Gelir Tablosu'!F13</x:f>
        <x:v>70375344</x:v>
      </x:c>
      <x:c r="G7" s="60" t="n">
        <x:f>'Gelir Tablosu'!G13</x:f>
        <x:v>140750688</x:v>
      </x:c>
      <x:c r="H7" s="60" t="n">
        <x:f>'Gelir Tablosu'!H13</x:f>
        <x:v>152010743.04000005</x:v>
      </x:c>
      <x:c r="I7" s="60" t="n">
        <x:f>'Gelir Tablosu'!I13</x:f>
        <x:v>161131387.62240002</x:v>
      </x:c>
      <x:c r="J7" s="60" t="n">
        <x:f>'Gelir Tablosu'!J13</x:f>
        <x:v>169187957.00352013</x:v>
      </x:c>
      <x:c r="K7" s="83" t="n">
        <x:f>'Gelir Tablosu'!K13</x:f>
        <x:v>175955475.28366095</x:v>
      </x:c>
    </x:row>
    <x:row r="8">
      <x:c r="A8" s="72" t="str">
        <x:v>EBIT</x:v>
      </x:c>
      <x:c r="B8" s="60" t="n">
        <x:f>'Gelir Tablosu'!B11</x:f>
        <x:v>73627774</x:v>
      </x:c>
      <x:c r="C8" s="60" t="n">
        <x:f>'Gelir Tablosu'!C11</x:f>
        <x:v>35709966</x:v>
      </x:c>
      <x:c r="D8" s="60" t="n">
        <x:f>'Gelir Tablosu'!D11</x:f>
        <x:v>41646897</x:v>
      </x:c>
      <x:c r="E8" s="60" t="n">
        <x:f>'Gelir Tablosu'!E11</x:f>
        <x:v>59025244</x:v>
      </x:c>
      <x:c r="F8" s="60" t="n">
        <x:f>'Gelir Tablosu'!F11</x:f>
        <x:v>59025244</x:v>
      </x:c>
      <x:c r="G8" s="60" t="n">
        <x:f>'Gelir Tablosu'!G11</x:f>
        <x:v>118050488</x:v>
      </x:c>
      <x:c r="H8" s="60" t="n">
        <x:f>'Gelir Tablosu'!H11</x:f>
        <x:v>127494527.04000005</x:v>
      </x:c>
      <x:c r="I8" s="60" t="n">
        <x:f>'Gelir Tablosu'!I11</x:f>
        <x:v>135144198.6624</x:v>
      </x:c>
      <x:c r="J8" s="60" t="n">
        <x:f>'Gelir Tablosu'!J11</x:f>
        <x:v>141901408.5955201</x:v>
      </x:c>
      <x:c r="K8" s="83" t="n">
        <x:f>'Gelir Tablosu'!K11</x:f>
        <x:v>147577464.93934095</x:v>
      </x:c>
    </x:row>
    <x:row r="9">
      <x:c r="A9" s="72" t="str">
        <x:v>Nakit Vergi</x:v>
      </x:c>
      <x:c r="B9" s="60" t="n">
        <x:f>-B8*'Varsayımlar'!B12</x:f>
        <x:v>-5027588.318001732</x:v>
      </x:c>
      <x:c r="C9" s="60" t="n">
        <x:f>-C8*'Varsayımlar'!C12</x:f>
        <x:v>-14299354.996431116</x:v>
      </x:c>
      <x:c r="D9" s="60" t="n">
        <x:f>-D8*'Varsayımlar'!D12</x:f>
        <x:v>-13222395.734032398</x:v>
      </x:c>
      <x:c r="E9" s="60" t="n">
        <x:f>-E8*'Varsayımlar'!E12</x:f>
        <x:v>-10403981.778718034</x:v>
      </x:c>
      <x:c r="F9" s="60" t="n">
        <x:f>-F8*'Varsayımlar'!F12</x:f>
        <x:v>-10403981.778718034</x:v>
      </x:c>
      <x:c r="G9" s="60" t="n">
        <x:f>-G8*'Varsayımlar'!G12</x:f>
        <x:v>-20807963.557436068</x:v>
      </x:c>
      <x:c r="H9" s="60" t="n">
        <x:f>-H8*'Varsayımlar'!H12</x:f>
        <x:v>-22472600.64203096</x:v>
      </x:c>
      <x:c r="I9" s="60" t="n">
        <x:f>-I8*'Varsayımlar'!I12</x:f>
        <x:v>-23820956.68055281</x:v>
      </x:c>
      <x:c r="J9" s="60" t="n">
        <x:f>-J8*'Varsayımlar'!J12</x:f>
        <x:v>-25012004.51458047</x:v>
      </x:c>
      <x:c r="K9" s="83" t="n">
        <x:f>-K8*'Varsayımlar'!K12</x:f>
        <x:v>-26012484.695163693</x:v>
      </x:c>
    </x:row>
    <x:row r="10">
      <x:c r="A10" s="72" t="str">
        <x:v>NOPAT</x:v>
      </x:c>
      <x:c r="B10" s="60" t="n">
        <x:f>B8+B9</x:f>
        <x:v>68600185.68199827</x:v>
      </x:c>
      <x:c r="C10" s="60" t="n">
        <x:f>C8+C9</x:f>
        <x:v>21410611.003568884</x:v>
      </x:c>
      <x:c r="D10" s="60" t="n">
        <x:f>D8+D9</x:f>
        <x:v>28424501.2659676</x:v>
      </x:c>
      <x:c r="E10" s="60" t="n">
        <x:f>E8+E9</x:f>
        <x:v>48621262.22128197</x:v>
      </x:c>
      <x:c r="F10" s="60" t="n">
        <x:f>F8+F9</x:f>
        <x:v>48621262.22128197</x:v>
      </x:c>
      <x:c r="G10" s="60" t="n">
        <x:f>G8+G9</x:f>
        <x:v>97242524.44256394</x:v>
      </x:c>
      <x:c r="H10" s="60" t="n">
        <x:f>H8+H9</x:f>
        <x:v>105021926.3979691</x:v>
      </x:c>
      <x:c r="I10" s="60" t="n">
        <x:f>I8+I9</x:f>
        <x:v>111323241.9818472</x:v>
      </x:c>
      <x:c r="J10" s="60" t="n">
        <x:f>J8+J9</x:f>
        <x:v>116889404.08093964</x:v>
      </x:c>
      <x:c r="K10" s="83" t="n">
        <x:f>K8+K9</x:f>
        <x:v>121564980.24417725</x:v>
      </x:c>
    </x:row>
    <x:row r="11">
      <x:c r="A11" s="72" t="str">
        <x:v>Amortisman</x:v>
      </x:c>
      <x:c r="B11" s="60" t="n">
        <x:f>-'Gelir Tablosu'!B12</x:f>
        <x:v>12450200</x:v>
      </x:c>
      <x:c r="C11" s="60" t="n">
        <x:f>-'Gelir Tablosu'!C12</x:f>
        <x:v>15800300</x:v>
      </x:c>
      <x:c r="D11" s="60" t="n">
        <x:f>-'Gelir Tablosu'!D12</x:f>
        <x:v>19200400</x:v>
      </x:c>
      <x:c r="E11" s="60" t="n">
        <x:f>-'Gelir Tablosu'!E12</x:f>
        <x:v>11350100</x:v>
      </x:c>
      <x:c r="F11" s="60" t="n">
        <x:f>-'Gelir Tablosu'!F12</x:f>
        <x:v>11350100</x:v>
      </x:c>
      <x:c r="G11" s="60" t="n">
        <x:f>-'Gelir Tablosu'!G12</x:f>
        <x:v>22700200</x:v>
      </x:c>
      <x:c r="H11" s="60" t="n">
        <x:f>-'Gelir Tablosu'!H12</x:f>
        <x:v>24516216.000000004</x:v>
      </x:c>
      <x:c r="I11" s="60" t="n">
        <x:f>-'Gelir Tablosu'!I12</x:f>
        <x:v>25987188.960000005</x:v>
      </x:c>
      <x:c r="J11" s="60" t="n">
        <x:f>-'Gelir Tablosu'!J12</x:f>
        <x:v>27286548.40800001</x:v>
      </x:c>
      <x:c r="K11" s="83" t="n">
        <x:f>-'Gelir Tablosu'!K12</x:f>
        <x:v>28378010.34432001</x:v>
      </x:c>
    </x:row>
    <x:row r="12">
      <x:c r="A12" s="72" t="str">
        <x:v>CapEx</x:v>
      </x:c>
      <x:c r="B12" s="60" t="n">
        <x:f>'Nakit Akış'!B15</x:f>
        <x:v>-24120300</x:v>
      </x:c>
      <x:c r="C12" s="60" t="n">
        <x:f>'Nakit Akış'!C15</x:f>
        <x:v>-31400200</x:v>
      </x:c>
      <x:c r="D12" s="60" t="n">
        <x:f>'Nakit Akış'!D15</x:f>
        <x:v>-38200100</x:v>
      </x:c>
      <x:c r="E12" s="60" t="n">
        <x:f>'Nakit Akış'!E15</x:f>
        <x:v>-28500400</x:v>
      </x:c>
      <x:c r="F12" s="60" t="n">
        <x:f>'Nakit Akış'!F15</x:f>
        <x:v>-2048966.1870051294</x:v>
      </x:c>
      <x:c r="G12" s="60" t="n">
        <x:f>'Nakit Akış'!G15</x:f>
        <x:v>-4210682.526005129</x:v>
      </x:c>
      <x:c r="H12" s="60" t="n">
        <x:f>'Nakit Akış'!H15</x:f>
        <x:v>-4734541.403275111</x:v>
      </x:c>
      <x:c r="I12" s="60" t="n">
        <x:f>'Nakit Akış'!I15</x:f>
        <x:v>-5018613.887471615</x:v>
      </x:c>
      <x:c r="J12" s="60" t="n">
        <x:f>'Nakit Akış'!J15</x:f>
        <x:v>-5269544.581845201</x:v>
      </x:c>
      <x:c r="K12" s="83" t="n">
        <x:f>'Nakit Akış'!K15</x:f>
        <x:v>-5480326.36511901</x:v>
      </x:c>
    </x:row>
    <x:row r="13">
      <x:c r="A13" s="72" t="str">
        <x:v>İşletme Sermayesi Değişimi</x:v>
      </x:c>
      <x:c r="B13" s="60" t="n">
        <x:f>'Nakit Akış'!B12</x:f>
        <x:v>-33856261</x:v>
      </x:c>
      <x:c r="C13" s="60" t="n">
        <x:f>'Nakit Akış'!C12</x:f>
        <x:v>13626310</x:v>
      </x:c>
      <x:c r="D13" s="60" t="n">
        <x:f>'Nakit Akış'!D12</x:f>
        <x:v>-16364829</x:v>
      </x:c>
      <x:c r="E13" s="60" t="n">
        <x:f>'Nakit Akış'!E12</x:f>
        <x:v>47822227</x:v>
      </x:c>
      <x:c r="F13" s="60" t="n">
        <x:f>'Nakit Akış'!F12</x:f>
        <x:v>69250926</x:v>
      </x:c>
      <x:c r="G13" s="60" t="n">
        <x:f>'Nakit Akış'!G12</x:f>
        <x:v>69134898.53150687</x:v>
      </x:c>
      <x:c r="H13" s="60" t="n">
        <x:f>'Nakit Akış'!H12</x:f>
        <x:v>4821148.7625205405</x:v>
      </x:c>
      <x:c r="I13" s="60" t="n">
        <x:f>'Nakit Akış'!I12</x:f>
        <x:v>3905130.497641634</x:v>
      </x:c>
      <x:c r="J13" s="60" t="n">
        <x:f>'Nakit Akış'!J12</x:f>
        <x:v>3449531.93958351</x:v>
      </x:c>
      <x:c r="K13" s="83" t="n">
        <x:f>'Nakit Akış'!K12</x:f>
        <x:v>2897606.829250045</x:v>
      </x:c>
    </x:row>
    <x:row r="14">
      <x:c r="A14" s="91" t="str">
        <x:v>Serbest Nakit Akışı</x:v>
      </x:c>
      <x:c r="B14" s="92" t="n">
        <x:f>B10+B11+B12+B13</x:f>
        <x:v>23073824.681998268</x:v>
      </x:c>
      <x:c r="C14" s="92" t="n">
        <x:f>C10+C11+C12+C13</x:f>
        <x:v>19437021.003568888</x:v>
      </x:c>
      <x:c r="D14" s="92" t="n">
        <x:f>D10+D11+D12+D13</x:f>
        <x:v>-6940027.7340324</x:v>
      </x:c>
      <x:c r="E14" s="92" t="n">
        <x:f>E10+E11+E12+E13</x:f>
        <x:v>79293189.22128198</x:v>
      </x:c>
      <x:c r="F14" s="92" t="n">
        <x:f>F10+F11+F12+F13</x:f>
        <x:v>127173322.03427684</x:v>
      </x:c>
      <x:c r="G14" s="92" t="n">
        <x:f>G10+G11+G12+G13</x:f>
        <x:v>184866940.44806567</x:v>
      </x:c>
      <x:c r="H14" s="92" t="n">
        <x:f>H10+H11+H12+H13</x:f>
        <x:v>129624749.75721452</x:v>
      </x:c>
      <x:c r="I14" s="92" t="n">
        <x:f>I10+I11+I12+I13</x:f>
        <x:v>136196947.5520172</x:v>
      </x:c>
      <x:c r="J14" s="92" t="n">
        <x:f>J10+J11+J12+J13</x:f>
        <x:v>142355939.84667796</x:v>
      </x:c>
      <x:c r="K14" s="92" t="n">
        <x:f>K10+K11+K12+K13</x:f>
        <x:v>147360271.05262828</x:v>
      </x:c>
    </x:row>
    <x:row r="15">
      <x:c r="A15" s="72" t="str">
        <x:v>İskonto Faktörü</x:v>
      </x:c>
      <x:c r="B15" s="60"/>
      <x:c r="C15" s="60"/>
      <x:c r="D15" s="60"/>
      <x:c r="E15" s="60"/>
      <x:c r="F15" s="60"/>
      <x:c r="G15" s="60"/>
      <x:c r="H15" s="60" t="n">
        <x:f>1/(1+'Varsayımlar'!H18)^1</x:f>
        <x:v>0.8474576271186441</x:v>
      </x:c>
      <x:c r="I15" s="60" t="n">
        <x:f>1/(1+'Varsayımlar'!I18)^2</x:f>
        <x:v>0.7181844297615628</x:v>
      </x:c>
      <x:c r="J15" s="60" t="n">
        <x:f>1/(1+'Varsayımlar'!J18)^3</x:f>
        <x:v>0.6086308726792905</x:v>
      </x:c>
      <x:c r="K15" s="83" t="n">
        <x:f>1/(1+'Varsayımlar'!K18)^4</x:f>
        <x:v>0.5157888751519412</x:v>
      </x:c>
    </x:row>
    <x:row r="16">
      <x:c r="A16" s="91" t="str">
        <x:v>FCF Bugünkü Değer</x:v>
      </x:c>
      <x:c r="B16" s="92"/>
      <x:c r="C16" s="92"/>
      <x:c r="D16" s="92"/>
      <x:c r="E16" s="92"/>
      <x:c r="F16" s="92"/>
      <x:c r="G16" s="92"/>
      <x:c r="H16" s="92" t="n">
        <x:f>H14*H15</x:f>
        <x:v>109851482.84509705</x:v>
      </x:c>
      <x:c r="I16" s="92" t="n">
        <x:f>I14*I15</x:f>
        <x:v>97814527.11291096</x:v>
      </x:c>
      <x:c r="J16" s="92" t="n">
        <x:f>J14*J15</x:f>
        <x:v>86642219.89996418</x:v>
      </x:c>
      <x:c r="K16" s="92" t="n">
        <x:f>K14*K15</x:f>
        <x:v>76006788.4483203</x:v>
      </x:c>
    </x:row>
    <x:row r="17">
      <x:c r="A17" s="72" t="str">
        <x:v>Terminal Değer</x:v>
      </x:c>
      <x:c r="B17" s="60"/>
      <x:c r="C17" s="60"/>
      <x:c r="D17" s="60"/>
      <x:c r="E17" s="60"/>
      <x:c r="F17" s="60"/>
      <x:c r="G17" s="60"/>
      <x:c r="H17" s="60"/>
      <x:c r="I17" s="60"/>
      <x:c r="J17" s="60"/>
      <x:c r="K17" s="83" t="n">
        <x:f>K14*(1+'Varsayımlar'!K19)/('Varsayımlar'!K18-'Varsayımlar'!K19)</x:f>
        <x:v>1094676299.248096</x:v>
      </x:c>
    </x:row>
    <x:row r="18">
      <x:c r="A18" s="91" t="str">
        <x:v>Terminal Değer Bugünkü Değer</x:v>
      </x:c>
      <x:c r="B18" s="92"/>
      <x:c r="C18" s="92"/>
      <x:c r="D18" s="92"/>
      <x:c r="E18" s="92"/>
      <x:c r="F18" s="92"/>
      <x:c r="G18" s="92"/>
      <x:c r="H18" s="92"/>
      <x:c r="I18" s="92"/>
      <x:c r="J18" s="92"/>
      <x:c r="K18" s="92" t="n">
        <x:f>K17*K15</x:f>
        <x:v>564621857.0446652</x:v>
      </x:c>
    </x:row>
    <x:row r="19">
      <x:c r="A19" s="91" t="str">
        <x:v>Firma Değeri</x:v>
      </x:c>
      <x:c r="B19" s="92"/>
      <x:c r="C19" s="92"/>
      <x:c r="D19" s="92"/>
      <x:c r="E19" s="92"/>
      <x:c r="F19" s="92"/>
      <x:c r="G19" s="92"/>
      <x:c r="H19" s="92"/>
      <x:c r="I19" s="92"/>
      <x:c r="J19" s="92"/>
      <x:c r="K19" s="92" t="n">
        <x:f>SUM(H16:K16)+K18</x:f>
        <x:v>934936875.3509576</x:v>
      </x:c>
    </x:row>
    <x:row r="20">
      <x:c r="A20" s="72" t="str">
        <x:v>Net Borç</x:v>
      </x:c>
      <x:c r="B20" s="60"/>
      <x:c r="C20" s="60"/>
      <x:c r="D20" s="60"/>
      <x:c r="E20" s="60"/>
      <x:c r="F20" s="60"/>
      <x:c r="G20" s="60"/>
      <x:c r="H20" s="60"/>
      <x:c r="I20" s="60"/>
      <x:c r="J20" s="60"/>
      <x:c r="K20" s="83" t="n">
        <x:f>'Borç Planı'!K17</x:f>
        <x:v>-846603924.7244056</x:v>
      </x:c>
    </x:row>
    <x:row r="21">
      <x:c r="A21" s="91" t="str">
        <x:v>Özkaynak Değeri</x:v>
      </x:c>
      <x:c r="B21" s="92"/>
      <x:c r="C21" s="92"/>
      <x:c r="D21" s="92"/>
      <x:c r="E21" s="92"/>
      <x:c r="F21" s="92"/>
      <x:c r="G21" s="92"/>
      <x:c r="H21" s="92"/>
      <x:c r="I21" s="92"/>
      <x:c r="J21" s="92"/>
      <x:c r="K21" s="92" t="n">
        <x:f>K19-K20</x:f>
        <x:v>1781540800.0753632</x:v>
      </x:c>
    </x:row>
    <x:row r="22">
      <x:c r="A22" s="72" t="str">
        <x:v>Pay Sayısı (mn adet)</x:v>
      </x:c>
      <x:c r="B22" s="60"/>
      <x:c r="C22" s="60"/>
      <x:c r="D22" s="60"/>
      <x:c r="E22" s="60"/>
      <x:c r="F22" s="60"/>
      <x:c r="G22" s="60"/>
      <x:c r="H22" s="60"/>
      <x:c r="I22" s="60"/>
      <x:c r="J22" s="60"/>
      <x:c r="K22" s="117" t="n">
        <x:f>1926.8</x:f>
        <x:v>1926.8</x:v>
      </x:c>
    </x:row>
    <x:row r="23">
      <x:c r="A23" s="91" t="str">
        <x:v>Hedef Fiyat (TL/hisse)</x:v>
      </x:c>
      <x:c r="B23" s="92"/>
      <x:c r="C23" s="92"/>
      <x:c r="D23" s="92"/>
      <x:c r="E23" s="92"/>
      <x:c r="F23" s="92"/>
      <x:c r="G23" s="92"/>
      <x:c r="H23" s="92"/>
      <x:c r="I23" s="92"/>
      <x:c r="J23" s="92"/>
      <x:c r="K23" s="130" t="n">
        <x:f>K21/K22/1000</x:f>
        <x:v>924.6111688163604</x:v>
      </x:c>
    </x:row>
    <x:row r="24">
      <x:c r="A24" s="75" t="str">
        <x:v>Not</x:v>
      </x:c>
      <x:c r="B24" s="62" t="str">
        <x:v>Basitleştirilmiş şablon</x:v>
      </x:c>
      <x:c r="C24" s="62"/>
      <x:c r="D24" s="62"/>
      <x:c r="E24" s="62"/>
      <x:c r="F24" s="62"/>
      <x:c r="G24" s="62"/>
      <x:c r="H24" s="62" t="str">
        <x:v>Tahmin dönemleri</x:v>
      </x:c>
      <x:c r="I24" s="62"/>
      <x:c r="J24" s="62"/>
      <x:c r="K24" s="84" t="str">
        <x:v>Birim düzeltildi: değerler bin TL, pay sayısı mn adet olduğu için hedef fiyat = özkaynak değeri / pay sayısı / 1000</x:v>
      </x:c>
    </x:row>
  </x:sheetData>
  <x:mergeCells>
    <x:mergeCell ref="A1:K1"/>
    <x:mergeCell ref="A2:K2"/>
    <x:mergeCell ref="A5:K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8" hidden="0" customWidth="1"/>
  </x:cols>
  <x:sheetData>
    <x:row r="1">
      <x:c r="A1" s="24" t="str">
        <x:v>MODEL KONTROLLERİ</x:v>
      </x:c>
      <x:c r="G1" s="127"/>
    </x:row>
    <x:row r="3">
      <x:c r="A3" s="119" t="str">
        <x:v>Kontrol</x:v>
      </x:c>
      <x:c r="B3" s="120" t="str">
        <x:v>Dönem</x:v>
      </x:c>
      <x:c r="C3" s="120" t="str">
        <x:v>Gerçekleşen</x:v>
      </x:c>
      <x:c r="D3" s="120" t="str">
        <x:v>Beklenen</x:v>
      </x:c>
      <x:c r="E3" s="120" t="str">
        <x:v>Fark</x:v>
      </x:c>
      <x:c r="F3" s="120" t="str">
        <x:v>Durum</x:v>
      </x:c>
      <x:c r="G3" s="121" t="str">
        <x:v>Not</x:v>
      </x:c>
    </x:row>
    <x:row r="4">
      <x:c r="A4" s="16" t="str">
        <x:v>Bilanço Dengesi</x:v>
      </x:c>
      <x:c r="B4" s="122" t="str">
        <x:v>2026 FYE</x:v>
      </x:c>
      <x:c r="C4" s="12" t="n">
        <x:f>'Bilanço'!G16</x:f>
        <x:v>1137421046.2281556</x:v>
      </x:c>
      <x:c r="D4" s="12" t="n">
        <x:f>'Bilanço'!G32</x:f>
        <x:v>1137421046.2281556</x:v>
      </x:c>
      <x:c r="E4" s="12" t="n">
        <x:f>C4-D4</x:f>
        <x:v>0</x:v>
      </x:c>
      <x:c r="F4" s="122" t="str">
        <x:f>IF(ABS(E4)&lt;1,"OK","Kontrol Et")</x:f>
        <x:v>OK</x:v>
      </x:c>
      <x:c r="G4" s="123" t="str">
        <x:v>Toplam varlıklar = toplam kaynaklar</x:v>
      </x:c>
    </x:row>
    <x:row r="5">
      <x:c r="A5" s="16" t="str">
        <x:v>Nakit Bağlantısı</x:v>
      </x:c>
      <x:c r="B5" s="122" t="str">
        <x:v>2026 FYE</x:v>
      </x:c>
      <x:c r="C5" s="12" t="n">
        <x:f>'Nakit Akış'!G26</x:f>
        <x:v>520203290.18363845</x:v>
      </x:c>
      <x:c r="D5" s="12" t="n">
        <x:f>'Bilanço'!G6</x:f>
        <x:v>520203290.18363845</x:v>
      </x:c>
      <x:c r="E5" s="12" t="n">
        <x:f>C5-D5</x:f>
        <x:v>0</x:v>
      </x:c>
      <x:c r="F5" s="122" t="str">
        <x:f>IF(ABS(E5)&lt;1,"OK","Kontrol Et")</x:f>
        <x:v>OK</x:v>
      </x:c>
      <x:c r="G5" s="123" t="str">
        <x:v>Dönem sonu nakit bilançoya bağlanıyor</x:v>
      </x:c>
    </x:row>
    <x:row r="6">
      <x:c r="A6" s="16" t="str">
        <x:v>Özkaynak Hareketi</x:v>
      </x:c>
      <x:c r="B6" s="122" t="str">
        <x:v>2026 FYE</x:v>
      </x:c>
      <x:c r="C6" s="12" t="n">
        <x:f>'Özkaynak Hareketi'!G12</x:f>
        <x:v>741354421.3651419</x:v>
      </x:c>
      <x:c r="D6" s="12" t="n">
        <x:f>'Bilanço'!G31</x:f>
        <x:v>741354421.3651419</x:v>
      </x:c>
      <x:c r="E6" s="12" t="n">
        <x:f>C6-D6</x:f>
        <x:v>0</x:v>
      </x:c>
      <x:c r="F6" s="122" t="str">
        <x:f>IF(ABS(E6)&lt;1,"OK","Kontrol Et")</x:f>
        <x:v>OK</x:v>
      </x:c>
      <x:c r="G6" s="123" t="str">
        <x:v>OCI/detay hareketler sadeleştirilmiştir</x:v>
      </x:c>
    </x:row>
    <x:row r="7">
      <x:c r="A7" s="16" t="str">
        <x:v>Borç Hareketi</x:v>
      </x:c>
      <x:c r="B7" s="122" t="str">
        <x:v>2026 FYE</x:v>
      </x:c>
      <x:c r="C7" s="12" t="n">
        <x:f>'Borç Planı'!G16</x:f>
        <x:v>111300500</x:v>
      </x:c>
      <x:c r="D7" s="12" t="n">
        <x:f>'Bilanço'!G18+'Bilanço'!G23</x:f>
        <x:v>111300500</x:v>
      </x:c>
      <x:c r="E7" s="12" t="n">
        <x:f>C7-D7</x:f>
        <x:v>0</x:v>
      </x:c>
      <x:c r="F7" s="122" t="str">
        <x:f>IF(ABS(E7)&lt;1,"OK","Kontrol Et")</x:f>
        <x:v>OK</x:v>
      </x:c>
      <x:c r="G7" s="123" t="str">
        <x:v>Borç planı bilanço borcuna bağlanıyor</x:v>
      </x:c>
    </x:row>
    <x:row r="8">
      <x:c r="A8" s="16" t="str">
        <x:v>2026 FYE Matematiği</x:v>
      </x:c>
      <x:c r="B8" s="122" t="str">
        <x:v>2026</x:v>
      </x:c>
      <x:c r="C8" s="12" t="n">
        <x:f>'Gelir Tablosu'!G6</x:f>
        <x:v>1325576020</x:v>
      </x:c>
      <x:c r="D8" s="12" t="n">
        <x:f>'Gelir Tablosu'!E6+'Gelir Tablosu'!F6</x:f>
        <x:v>1325576020</x:v>
      </x:c>
      <x:c r="E8" s="12" t="n">
        <x:f>C8-D8</x:f>
        <x:v>0</x:v>
      </x:c>
      <x:c r="F8" s="122" t="str">
        <x:f>IF(ABS(E8)&lt;1,"OK","Kontrol Et")</x:f>
        <x:v>OK</x:v>
      </x:c>
      <x:c r="G8" s="123" t="str">
        <x:v>H1A + H2E = FYE</x:v>
      </x:c>
    </x:row>
    <x:row r="9">
      <x:c r="A9" s="16" t="str">
        <x:v>Eksik Entegrasyon</x:v>
      </x:c>
      <x:c r="B9" s="122" t="str">
        <x:v>Genel</x:v>
      </x:c>
      <x:c r="C9" s="12" t="n">
        <x:v>4</x:v>
      </x:c>
      <x:c r="D9" s="12" t="n">
        <x:v>0</x:v>
      </x:c>
      <x:c r="E9" s="12" t="n">
        <x:v>4</x:v>
      </x:c>
      <x:c r="F9" s="122" t="str">
        <x:v>Açık</x:v>
      </x:c>
      <x:c r="G9" s="123" t="str">
        <x:v>Ana tablolar bağlandı; detay dipnot kırılımı için borç, OCI, karşılık ve operasyonel driver kaynakları ayrıca geliştirilmeli</x:v>
      </x:c>
    </x:row>
    <x:row r="10">
      <x:c r="A10" s="16"/>
      <x:c r="B10" s="122"/>
      <x:c r="C10" s="122"/>
      <x:c r="D10" s="122"/>
      <x:c r="E10" s="122"/>
      <x:c r="F10" s="122"/>
      <x:c r="G10" s="123"/>
    </x:row>
    <x:row r="11">
      <x:c r="A11" s="124" t="str">
        <x:v>Eksik Entegrasyon Alanı</x:v>
      </x:c>
      <x:c r="B11" s="9" t="str">
        <x:v>Durum</x:v>
      </x:c>
      <x:c r="C11" s="9" t="str">
        <x:v>Aksiyon</x:v>
      </x:c>
      <x:c r="D11" s="122"/>
      <x:c r="E11" s="122"/>
      <x:c r="F11" s="122"/>
      <x:c r="G11" s="123"/>
    </x:row>
    <x:row r="12">
      <x:c r="A12" s="16" t="str">
        <x:v>Borç planı detay kırılımı</x:v>
      </x:c>
      <x:c r="B12" s="122" t="str">
        <x:v>İşaretlendi</x:v>
      </x:c>
      <x:c r="C12" s="122" t="str">
        <x:v>Kısa/uzun vade, faiz, kur etkisi ve lease ayrı modellenecek</x:v>
      </x:c>
      <x:c r="D12" s="122"/>
      <x:c r="E12" s="122"/>
      <x:c r="F12" s="122"/>
      <x:c r="G12" s="123"/>
    </x:row>
    <x:row r="13">
      <x:c r="A13" s="16" t="str">
        <x:v>Özkaynak hareketi</x:v>
      </x:c>
      <x:c r="B13" s="122" t="str">
        <x:v>İşaretlendi</x:v>
      </x:c>
      <x:c r="C13" s="122" t="str">
        <x:v>OCI, enflasyon muhasebesi, yedekler ve NCI detaylandırılacak</x:v>
      </x:c>
      <x:c r="D13" s="122"/>
      <x:c r="E13" s="122"/>
      <x:c r="F13" s="122"/>
      <x:c r="G13" s="123"/>
    </x:row>
    <x:row r="14">
      <x:c r="A14" s="16" t="str">
        <x:v>Provisions / karşılıklar</x:v>
      </x:c>
      <x:c r="B14" s="122" t="str">
        <x:v>İşaretlendi</x:v>
      </x:c>
      <x:c r="C14" s="122" t="str">
        <x:v>Bilanço dipnotlarından detay kırılım eklenecek</x:v>
      </x:c>
      <x:c r="D14" s="122"/>
      <x:c r="E14" s="122"/>
      <x:c r="F14" s="122"/>
      <x:c r="G14" s="123"/>
    </x:row>
    <x:row r="15">
      <x:c r="A15" s="18" t="str">
        <x:v>Tüpraş operasyonel driverları</x:v>
      </x:c>
      <x:c r="B15" s="125" t="str">
        <x:v>İşaretlendi</x:v>
      </x:c>
      <x:c r="C15" s="125" t="str">
        <x:v>Rafineri marjı, kapasite, hacim ve Brent varsayımları kaynaklanacak</x:v>
      </x:c>
      <x:c r="D15" s="125"/>
      <x:c r="E15" s="125"/>
      <x:c r="F15" s="125"/>
      <x:c r="G15" s="126"/>
    </x:row>
    <x:row r="16">
      <x:c r="A16" s="133" t="str">
        <x:v>Ek Doğrulama</x:v>
      </x:c>
      <x:c r="B16" s="134" t="str">
        <x:v>Dönem</x:v>
      </x:c>
      <x:c r="C16" s="134" t="str">
        <x:v>Gerçekleşen</x:v>
      </x:c>
      <x:c r="D16" s="134" t="str">
        <x:v>Beklenen</x:v>
      </x:c>
      <x:c r="E16" s="134" t="str">
        <x:v>Fark</x:v>
      </x:c>
      <x:c r="F16" s="134" t="str">
        <x:v>Durum</x:v>
      </x:c>
      <x:c r="G16" s="135" t="str">
        <x:v>Not</x:v>
      </x:c>
    </x:row>
    <x:row r="17">
      <x:c r="A17" s="16" t="str">
        <x:v>DCF EBIT Bağlantısı</x:v>
      </x:c>
      <x:c r="B17" s="136" t="str">
        <x:v>2026 FYE</x:v>
      </x:c>
      <x:c r="C17" s="136" t="n">
        <x:f>'DCF Değerleme'!G8</x:f>
        <x:v>118050488</x:v>
      </x:c>
      <x:c r="D17" s="136" t="n">
        <x:f>'Gelir Tablosu'!G11</x:f>
        <x:v>118050488</x:v>
      </x:c>
      <x:c r="E17" s="136" t="n">
        <x:f>C17-D17</x:f>
        <x:v>0</x:v>
      </x:c>
      <x:c r="F17" s="136" t="str">
        <x:f>IF(ABS(E17)&lt;1,"OK","Kontrol Et")</x:f>
        <x:v>OK</x:v>
      </x:c>
      <x:c r="G17" s="123" t="str">
        <x:v>DCF EBIT satırı Gelir Tablosu EBIT satırına bağlandı</x:v>
      </x:c>
    </x:row>
    <x:row r="18">
      <x:c r="A18" s="16" t="str">
        <x:v>DCF Fiyat Birimi</x:v>
      </x:c>
      <x:c r="B18" s="136" t="str">
        <x:v>2030</x:v>
      </x:c>
      <x:c r="C18" s="136" t="n">
        <x:f>'DCF Değerleme'!K23</x:f>
        <x:v>924.6111688163604</x:v>
      </x:c>
      <x:c r="D18" s="136" t="n">
        <x:f>'DCF Değerleme'!K21/'DCF Değerleme'!K22/1000</x:f>
        <x:v>924.6111688163604</x:v>
      </x:c>
      <x:c r="E18" s="136" t="n">
        <x:f>C18-D18</x:f>
        <x:v>0</x:v>
      </x:c>
      <x:c r="F18" s="136" t="str">
        <x:f>IF(ABS(E18)&lt;0.01,"OK","Kontrol Et")</x:f>
        <x:v>OK</x:v>
      </x:c>
      <x:c r="G18" s="123" t="str">
        <x:v>Hedef fiyat bin TL / mn adet dönüşümüyle TL/hisse olarak düzeltildi</x:v>
      </x:c>
    </x:row>
    <x:row r="19">
      <x:c r="A19" s="16" t="str">
        <x:v>Formül Hatası</x:v>
      </x:c>
      <x:c r="B19" s="136" t="str">
        <x:v>Tüm model</x:v>
      </x:c>
      <x:c r="C19" s="136" t="n">
        <x:v>0</x:v>
      </x:c>
      <x:c r="D19" s="136" t="n">
        <x:v>0</x:v>
      </x:c>
      <x:c r="E19" s="136" t="n">
        <x:v>0</x:v>
      </x:c>
      <x:c r="F19" s="136" t="str">
        <x:v>OK</x:v>
      </x:c>
      <x:c r="G19" s="123" t="str">
        <x:v>Excel hata kodu taramasında sorun bulunmadı</x:v>
      </x:c>
    </x:row>
    <x:row r="20">
      <x:c r="A20" s="18" t="str">
        <x:v>Model Seviyesi</x:v>
      </x:c>
      <x:c r="B20" s="125" t="str">
        <x:v>Genel</x:v>
      </x:c>
      <x:c r="C20" s="125" t="n">
        <x:v>1</x:v>
      </x:c>
      <x:c r="D20" s="125" t="n">
        <x:v>1</x:v>
      </x:c>
      <x:c r="E20" s="125" t="n">
        <x:v>0</x:v>
      </x:c>
      <x:c r="F20" s="125" t="str">
        <x:v>OK</x:v>
      </x:c>
      <x:c r="G20" s="126" t="str">
        <x:v>Ana 3 tablo bağlı; dipnot detayları ayrı geliştirme alanı olarak kalır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12" hidden="0" customWidth="1"/>
    <x:col min="5" max="5" width="34" hidden="0" customWidth="1"/>
    <x:col min="6" max="6" width="52" hidden="0" customWidth="1"/>
  </x:cols>
  <x:sheetData>
    <x:row r="1">
      <x:c r="A1" s="128" t="str">
        <x:v>KAYNAK VE NOTLAR</x:v>
      </x:c>
      <x:c r="B1" s="127"/>
      <x:c r="C1" s="127"/>
      <x:c r="D1" s="127"/>
      <x:c r="E1" s="127"/>
      <x:c r="F1" s="127"/>
    </x:row>
    <x:row r="3">
      <x:c r="A3" s="119" t="str">
        <x:v>Konu</x:v>
      </x:c>
      <x:c r="B3" s="120" t="str">
        <x:v>Dönem</x:v>
      </x:c>
      <x:c r="C3" s="120" t="str">
        <x:v>Değer</x:v>
      </x:c>
      <x:c r="D3" s="120" t="str">
        <x:v>Birim</x:v>
      </x:c>
      <x:c r="E3" s="120" t="str">
        <x:v>Kaynak</x:v>
      </x:c>
      <x:c r="F3" s="121" t="str">
        <x:v>Not</x:v>
      </x:c>
    </x:row>
    <x:row r="4">
      <x:c r="A4" s="16" t="str">
        <x:v>Para birimi</x:v>
      </x:c>
      <x:c r="B4" s="122" t="str">
        <x:v>Tüm model</x:v>
      </x:c>
      <x:c r="C4" s="12"/>
      <x:c r="D4" s="122" t="str">
        <x:v>bin TL</x:v>
      </x:c>
      <x:c r="E4" s="122" t="str">
        <x:v>Konsolide finansal rapor</x:v>
      </x:c>
      <x:c r="F4" s="123" t="str">
        <x:v>Raporlama para birimi TL ve tutarlar bin TL olarak ele alınmıştır</x:v>
      </x:c>
    </x:row>
    <x:row r="5">
      <x:c r="A5" s="16" t="str">
        <x:v>2026 H1 Hasılat</x:v>
      </x:c>
      <x:c r="B5" s="122" t="str">
        <x:v>2026/06</x:v>
      </x:c>
      <x:c r="C5" s="12" t="n">
        <x:v>662788010</x:v>
      </x:c>
      <x:c r="D5" s="122" t="str">
        <x:v>bin TL</x:v>
      </x:c>
      <x:c r="E5" s="122" t="str">
        <x:v>30 Haziran 2026 konsolide finansal rapor</x:v>
      </x:c>
      <x:c r="F5" s="123" t="str">
        <x:v>H1A kolonuna işlendi</x:v>
      </x:c>
    </x:row>
    <x:row r="6">
      <x:c r="A6" s="16" t="str">
        <x:v>2026 H1 Satışların Maliyeti</x:v>
      </x:c>
      <x:c r="B6" s="122" t="str">
        <x:v>2026/06</x:v>
      </x:c>
      <x:c r="C6" s="12" t="n">
        <x:v>-578662326</x:v>
      </x:c>
      <x:c r="D6" s="122" t="str">
        <x:v>bin TL</x:v>
      </x:c>
      <x:c r="E6" s="122" t="str">
        <x:v>30 Haziran 2026 konsolide finansal rapor</x:v>
      </x:c>
      <x:c r="F6" s="123" t="str">
        <x:v>H1A kolonuna işlendi</x:v>
      </x:c>
    </x:row>
    <x:row r="7">
      <x:c r="A7" s="16" t="str">
        <x:v>2026 H1 Brüt Kâr</x:v>
      </x:c>
      <x:c r="B7" s="122" t="str">
        <x:v>2026/06</x:v>
      </x:c>
      <x:c r="C7" s="12" t="n">
        <x:v>84125684</x:v>
      </x:c>
      <x:c r="D7" s="122" t="str">
        <x:v>bin TL</x:v>
      </x:c>
      <x:c r="E7" s="122" t="str">
        <x:v>30 Haziran 2026 konsolide finansal rapor</x:v>
      </x:c>
      <x:c r="F7" s="123" t="str">
        <x:v>H1A kolonuna işlendi</x:v>
      </x:c>
    </x:row>
    <x:row r="8">
      <x:c r="A8" s="16" t="str">
        <x:v>2026 H1 Esas Faaliyet Kârı</x:v>
      </x:c>
      <x:c r="B8" s="122" t="str">
        <x:v>2026/06</x:v>
      </x:c>
      <x:c r="C8" s="12" t="n">
        <x:v>59025244</x:v>
      </x:c>
      <x:c r="D8" s="122" t="str">
        <x:v>bin TL</x:v>
      </x:c>
      <x:c r="E8" s="122" t="str">
        <x:v>30 Haziran 2026 konsolide finansal rapor</x:v>
      </x:c>
      <x:c r="F8" s="123" t="str">
        <x:v>H1A kolonuna işlendi</x:v>
      </x:c>
    </x:row>
    <x:row r="9">
      <x:c r="A9" s="16" t="str">
        <x:v>2026 H1 Net Dönem Kârı</x:v>
      </x:c>
      <x:c r="B9" s="122" t="str">
        <x:v>2026/06</x:v>
      </x:c>
      <x:c r="C9" s="12" t="n">
        <x:v>50272473</x:v>
      </x:c>
      <x:c r="D9" s="122" t="str">
        <x:v>bin TL</x:v>
      </x:c>
      <x:c r="E9" s="122" t="str">
        <x:v>30 Haziran 2026 konsolide finansal rapor</x:v>
      </x:c>
      <x:c r="F9" s="123" t="str">
        <x:v>H1A kolonuna işlendi</x:v>
      </x:c>
    </x:row>
    <x:row r="10">
      <x:c r="A10" s="16" t="str">
        <x:v>Tarih yapısı</x:v>
      </x:c>
      <x:c r="B10" s="122" t="str">
        <x:v>2026</x:v>
      </x:c>
      <x:c r="C10" s="12"/>
      <x:c r="D10" s="122"/>
      <x:c r="E10" s="122" t="str">
        <x:v>Model revizyonu</x:v>
      </x:c>
      <x:c r="F10" s="123" t="str">
        <x:v>H1A + H2E = FYE kurgusu eklendi</x:v>
      </x:c>
    </x:row>
    <x:row r="11">
      <x:c r="A11" s="16" t="str">
        <x:v>H2 varsayımı</x:v>
      </x:c>
      <x:c r="B11" s="122" t="str">
        <x:v>2026 H2E</x:v>
      </x:c>
      <x:c r="C11" s="12"/>
      <x:c r="D11" s="122"/>
      <x:c r="E11" s="122" t="str">
        <x:v>Kullanıcı varsayımı</x:v>
      </x:c>
      <x:c r="F11" s="123" t="str">
        <x:v>Varsayımlar sekmesindeki H2/H1 çarpanı ile kontrol edilir</x:v>
      </x:c>
    </x:row>
    <x:row r="12">
      <x:c r="A12" s="18" t="str">
        <x:v>Eksik entegrasyonlar</x:v>
      </x:c>
      <x:c r="B12" s="125" t="str">
        <x:v>Genel</x:v>
      </x:c>
      <x:c r="C12" s="19"/>
      <x:c r="D12" s="125"/>
      <x:c r="E12" s="125" t="str">
        <x:v>Model Kontrolleri</x:v>
      </x:c>
      <x:c r="F12" s="126" t="str">
        <x:v>Detay schedule gerektiren alanlar ayrıca işaretlendi</x:v>
      </x:c>
    </x:row>
  </x:sheetData>
  <x:mergeCells>
    <x:mergeCell ref="A1:F1"/>
  </x:mergeCells>
  <x:pageMargins left="0.7" right="0.7" top="0.75" bottom="0.75" header="0.3" footer="0.3"/>
</x:worksheet>
</file>